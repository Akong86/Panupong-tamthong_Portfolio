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8_{F15CA2A2-708B-4873-9D90-EA78458F77D6}" xr6:coauthVersionLast="47" xr6:coauthVersionMax="47" xr10:uidLastSave="{00000000-0000-0000-0000-000000000000}"/>
  <bookViews>
    <workbookView xWindow="-110" yWindow="-110" windowWidth="19420" windowHeight="11500" activeTab="2" xr2:uid="{DD7AD0DB-0CBE-4F89-8BE3-87BDA860EFCC}"/>
  </bookViews>
  <sheets>
    <sheet name="scraped" sheetId="1" r:id="rId1"/>
    <sheet name="clean" sheetId="2" r:id="rId2"/>
    <sheet name="catego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a="1"/>
  <c r="D3" i="2" s="1"/>
  <c r="D4" i="2" a="1"/>
  <c r="D4" i="2" s="1"/>
  <c r="D5" i="2" a="1"/>
  <c r="D5" i="2" s="1"/>
  <c r="D6" i="2" a="1"/>
  <c r="D6" i="2" s="1"/>
  <c r="D7" i="2" a="1"/>
  <c r="D7" i="2" s="1"/>
  <c r="D8" i="2" a="1"/>
  <c r="D8" i="2" s="1"/>
  <c r="D9" i="2" a="1"/>
  <c r="D9" i="2" s="1"/>
  <c r="D10" i="2" a="1"/>
  <c r="D10" i="2" s="1"/>
  <c r="D11" i="2" a="1"/>
  <c r="D11" i="2" s="1"/>
  <c r="D12" i="2" a="1"/>
  <c r="D12" i="2" s="1"/>
  <c r="D13" i="2" a="1"/>
  <c r="D13" i="2" s="1"/>
  <c r="D14" i="2" a="1"/>
  <c r="D14" i="2" s="1"/>
  <c r="D15" i="2" a="1"/>
  <c r="D15" i="2" s="1"/>
  <c r="D16" i="2" a="1"/>
  <c r="D16" i="2" s="1"/>
  <c r="D17" i="2" a="1"/>
  <c r="D17" i="2" s="1"/>
  <c r="D18" i="2" a="1"/>
  <c r="D18" i="2" s="1"/>
  <c r="D19" i="2" a="1"/>
  <c r="D19" i="2" s="1"/>
  <c r="D20" i="2" a="1"/>
  <c r="D20" i="2" s="1"/>
  <c r="D21" i="2" a="1"/>
  <c r="D21" i="2" s="1"/>
  <c r="D22" i="2" a="1"/>
  <c r="D22" i="2" s="1"/>
  <c r="D23" i="2" a="1"/>
  <c r="D23" i="2" s="1"/>
  <c r="D24" i="2" a="1"/>
  <c r="D24" i="2" s="1"/>
  <c r="D25" i="2" a="1"/>
  <c r="D25" i="2" s="1"/>
  <c r="D26" i="2" a="1"/>
  <c r="D26" i="2" s="1"/>
  <c r="D27" i="2" a="1"/>
  <c r="D27" i="2" s="1"/>
  <c r="D28" i="2" a="1"/>
  <c r="D28" i="2" s="1"/>
  <c r="D29" i="2" a="1"/>
  <c r="D29" i="2" s="1"/>
  <c r="D30" i="2" a="1"/>
  <c r="D30" i="2" s="1"/>
  <c r="D31" i="2" a="1"/>
  <c r="D31" i="2" s="1"/>
  <c r="D32" i="2" a="1"/>
  <c r="D32" i="2" s="1"/>
  <c r="D33" i="2" a="1"/>
  <c r="D33" i="2" s="1"/>
  <c r="D34" i="2" a="1"/>
  <c r="D34" i="2" s="1"/>
  <c r="D35" i="2" a="1"/>
  <c r="D35" i="2" s="1"/>
  <c r="D36" i="2" a="1"/>
  <c r="D36" i="2" s="1"/>
  <c r="D37" i="2" a="1"/>
  <c r="D37" i="2" s="1"/>
  <c r="D38" i="2" a="1"/>
  <c r="D38" i="2" s="1"/>
  <c r="D39" i="2" a="1"/>
  <c r="D39" i="2" s="1"/>
  <c r="D40" i="2" a="1"/>
  <c r="D40" i="2" s="1"/>
  <c r="D41" i="2" a="1"/>
  <c r="D41" i="2" s="1"/>
  <c r="D42" i="2" a="1"/>
  <c r="D42" i="2" s="1"/>
  <c r="D43" i="2" a="1"/>
  <c r="D43" i="2" s="1"/>
  <c r="D44" i="2" a="1"/>
  <c r="D44" i="2" s="1"/>
  <c r="D45" i="2" a="1"/>
  <c r="D45" i="2" s="1"/>
  <c r="D46" i="2" a="1"/>
  <c r="D46" i="2" s="1"/>
  <c r="D47" i="2" a="1"/>
  <c r="D47" i="2" s="1"/>
  <c r="D48" i="2" a="1"/>
  <c r="D48" i="2" s="1"/>
  <c r="D49" i="2" a="1"/>
  <c r="D49" i="2" s="1"/>
  <c r="D50" i="2" a="1"/>
  <c r="D50" i="2" s="1"/>
  <c r="D51" i="2" a="1"/>
  <c r="D51" i="2" s="1"/>
  <c r="D52" i="2" a="1"/>
  <c r="D52" i="2" s="1"/>
  <c r="D53" i="2" a="1"/>
  <c r="D53" i="2" s="1"/>
  <c r="D54" i="2" a="1"/>
  <c r="D54" i="2" s="1"/>
  <c r="D55" i="2" a="1"/>
  <c r="D55" i="2" s="1"/>
  <c r="D56" i="2" a="1"/>
  <c r="D56" i="2" s="1"/>
  <c r="D57" i="2" a="1"/>
  <c r="D57" i="2" s="1"/>
  <c r="D58" i="2" a="1"/>
  <c r="D58" i="2" s="1"/>
  <c r="D59" i="2" a="1"/>
  <c r="D59" i="2" s="1"/>
  <c r="D60" i="2" a="1"/>
  <c r="D60" i="2" s="1"/>
  <c r="D61" i="2" a="1"/>
  <c r="D61" i="2" s="1"/>
  <c r="D62" i="2" a="1"/>
  <c r="D62" i="2" s="1"/>
  <c r="D63" i="2" a="1"/>
  <c r="D63" i="2" s="1"/>
  <c r="D64" i="2" a="1"/>
  <c r="D64" i="2" s="1"/>
  <c r="D65" i="2" a="1"/>
  <c r="D65" i="2" s="1"/>
  <c r="D66" i="2" a="1"/>
  <c r="D66" i="2" s="1"/>
  <c r="D67" i="2" a="1"/>
  <c r="D67" i="2" s="1"/>
  <c r="D68" i="2" a="1"/>
  <c r="D68" i="2" s="1"/>
  <c r="D69" i="2" a="1"/>
  <c r="D69" i="2" s="1"/>
  <c r="D70" i="2" a="1"/>
  <c r="D70" i="2" s="1"/>
  <c r="D71" i="2" a="1"/>
  <c r="D71" i="2" s="1"/>
  <c r="D72" i="2" a="1"/>
  <c r="D72" i="2" s="1"/>
  <c r="D73" i="2" a="1"/>
  <c r="D73" i="2" s="1"/>
  <c r="D74" i="2" a="1"/>
  <c r="D74" i="2" s="1"/>
  <c r="D75" i="2" a="1"/>
  <c r="D75" i="2" s="1"/>
  <c r="D76" i="2" a="1"/>
  <c r="D76" i="2" s="1"/>
  <c r="D77" i="2" a="1"/>
  <c r="D77" i="2" s="1"/>
  <c r="D78" i="2" a="1"/>
  <c r="D78" i="2" s="1"/>
  <c r="D79" i="2" a="1"/>
  <c r="D79" i="2" s="1"/>
  <c r="D80" i="2" a="1"/>
  <c r="D80" i="2" s="1"/>
  <c r="D81" i="2" a="1"/>
  <c r="D81" i="2" s="1"/>
  <c r="D82" i="2" a="1"/>
  <c r="D82" i="2" s="1"/>
  <c r="D83" i="2" a="1"/>
  <c r="D83" i="2" s="1"/>
  <c r="D84" i="2" a="1"/>
  <c r="D84" i="2" s="1"/>
  <c r="D85" i="2" a="1"/>
  <c r="D85" i="2" s="1"/>
  <c r="D86" i="2" a="1"/>
  <c r="D86" i="2" s="1"/>
  <c r="D87" i="2" a="1"/>
  <c r="D87" i="2" s="1"/>
  <c r="D88" i="2" a="1"/>
  <c r="D88" i="2" s="1"/>
  <c r="D89" i="2" a="1"/>
  <c r="D89" i="2" s="1"/>
  <c r="D90" i="2" a="1"/>
  <c r="D90" i="2" s="1"/>
  <c r="D91" i="2" a="1"/>
  <c r="D91" i="2" s="1"/>
  <c r="D92" i="2" a="1"/>
  <c r="D92" i="2" s="1"/>
  <c r="D93" i="2" a="1"/>
  <c r="D93" i="2" s="1"/>
  <c r="D94" i="2" a="1"/>
  <c r="D94" i="2" s="1"/>
  <c r="D95" i="2" a="1"/>
  <c r="D95" i="2" s="1"/>
  <c r="D96" i="2" a="1"/>
  <c r="D96" i="2" s="1"/>
  <c r="D97" i="2" a="1"/>
  <c r="D97" i="2" s="1"/>
  <c r="D98" i="2" a="1"/>
  <c r="D98" i="2" s="1"/>
  <c r="D99" i="2" a="1"/>
  <c r="D99" i="2" s="1"/>
  <c r="D100" i="2" a="1"/>
  <c r="D100" i="2" s="1"/>
  <c r="D101" i="2" a="1"/>
  <c r="D101" i="2" s="1"/>
  <c r="D102" i="2" a="1"/>
  <c r="D102" i="2" s="1"/>
  <c r="D103" i="2" a="1"/>
  <c r="D103" i="2" s="1"/>
  <c r="D104" i="2" a="1"/>
  <c r="D104" i="2" s="1"/>
  <c r="D105" i="2" a="1"/>
  <c r="D105" i="2" s="1"/>
  <c r="D106" i="2" a="1"/>
  <c r="D106" i="2" s="1"/>
  <c r="D107" i="2" a="1"/>
  <c r="D107" i="2" s="1"/>
  <c r="D108" i="2" a="1"/>
  <c r="D108" i="2" s="1"/>
  <c r="D109" i="2" a="1"/>
  <c r="D109" i="2" s="1"/>
  <c r="D110" i="2" a="1"/>
  <c r="D110" i="2" s="1"/>
  <c r="D111" i="2" a="1"/>
  <c r="D111" i="2" s="1"/>
  <c r="D112" i="2" a="1"/>
  <c r="D112" i="2" s="1"/>
  <c r="D113" i="2" a="1"/>
  <c r="D113" i="2" s="1"/>
  <c r="D114" i="2" a="1"/>
  <c r="D114" i="2" s="1"/>
  <c r="D115" i="2" a="1"/>
  <c r="D115" i="2" s="1"/>
  <c r="D116" i="2" a="1"/>
  <c r="D116" i="2" s="1"/>
  <c r="D117" i="2" a="1"/>
  <c r="D117" i="2" s="1"/>
  <c r="D118" i="2" a="1"/>
  <c r="D118" i="2" s="1"/>
  <c r="D119" i="2" a="1"/>
  <c r="D119" i="2" s="1"/>
  <c r="D120" i="2" a="1"/>
  <c r="D120" i="2" s="1"/>
  <c r="D121" i="2" a="1"/>
  <c r="D121" i="2" s="1"/>
  <c r="D122" i="2" a="1"/>
  <c r="D122" i="2" s="1"/>
  <c r="D123" i="2" a="1"/>
  <c r="D123" i="2" s="1"/>
  <c r="D124" i="2" a="1"/>
  <c r="D124" i="2" s="1"/>
  <c r="D125" i="2" a="1"/>
  <c r="D125" i="2" s="1"/>
  <c r="D126" i="2" a="1"/>
  <c r="D126" i="2" s="1"/>
  <c r="D127" i="2" a="1"/>
  <c r="D127" i="2" s="1"/>
  <c r="D128" i="2" a="1"/>
  <c r="D128" i="2" s="1"/>
  <c r="D129" i="2" a="1"/>
  <c r="D129" i="2" s="1"/>
  <c r="D130" i="2" a="1"/>
  <c r="D130" i="2" s="1"/>
  <c r="D131" i="2" a="1"/>
  <c r="D131" i="2" s="1"/>
  <c r="D132" i="2" a="1"/>
  <c r="D132" i="2" s="1"/>
  <c r="D133" i="2" a="1"/>
  <c r="D133" i="2" s="1"/>
  <c r="D134" i="2" a="1"/>
  <c r="D134" i="2" s="1"/>
  <c r="D135" i="2" a="1"/>
  <c r="D135" i="2" s="1"/>
  <c r="D136" i="2" a="1"/>
  <c r="D136" i="2" s="1"/>
  <c r="D137" i="2" a="1"/>
  <c r="D137" i="2" s="1"/>
  <c r="D138" i="2" a="1"/>
  <c r="D138" i="2" s="1"/>
  <c r="D139" i="2" a="1"/>
  <c r="D139" i="2" s="1"/>
  <c r="D140" i="2" a="1"/>
  <c r="D140" i="2" s="1"/>
  <c r="D141" i="2" a="1"/>
  <c r="D141" i="2" s="1"/>
  <c r="D142" i="2" a="1"/>
  <c r="D142" i="2" s="1"/>
  <c r="D143" i="2" a="1"/>
  <c r="D143" i="2" s="1"/>
  <c r="D144" i="2" a="1"/>
  <c r="D144" i="2" s="1"/>
  <c r="D145" i="2" a="1"/>
  <c r="D145" i="2" s="1"/>
  <c r="D146" i="2" a="1"/>
  <c r="D146" i="2" s="1"/>
  <c r="D147" i="2" a="1"/>
  <c r="D147" i="2" s="1"/>
  <c r="D148" i="2" a="1"/>
  <c r="D148" i="2" s="1"/>
  <c r="D149" i="2" a="1"/>
  <c r="D149" i="2" s="1"/>
  <c r="D150" i="2" a="1"/>
  <c r="D150" i="2" s="1"/>
  <c r="D151" i="2" a="1"/>
  <c r="D151" i="2" s="1"/>
  <c r="D152" i="2" a="1"/>
  <c r="D152" i="2" s="1"/>
  <c r="D153" i="2" a="1"/>
  <c r="D153" i="2" s="1"/>
  <c r="D154" i="2" a="1"/>
  <c r="D154" i="2" s="1"/>
  <c r="D155" i="2" a="1"/>
  <c r="D155" i="2" s="1"/>
  <c r="D156" i="2" a="1"/>
  <c r="D156" i="2" s="1"/>
  <c r="D157" i="2" a="1"/>
  <c r="D157" i="2" s="1"/>
  <c r="D158" i="2" a="1"/>
  <c r="D158" i="2" s="1"/>
  <c r="D159" i="2" a="1"/>
  <c r="D159" i="2" s="1"/>
  <c r="D160" i="2" a="1"/>
  <c r="D160" i="2" s="1"/>
  <c r="D161" i="2" a="1"/>
  <c r="D161" i="2" s="1"/>
  <c r="D162" i="2" a="1"/>
  <c r="D162" i="2" s="1"/>
  <c r="D163" i="2" a="1"/>
  <c r="D163" i="2" s="1"/>
  <c r="D164" i="2" a="1"/>
  <c r="D164" i="2" s="1"/>
  <c r="D165" i="2" a="1"/>
  <c r="D165" i="2" s="1"/>
  <c r="D166" i="2" a="1"/>
  <c r="D166" i="2" s="1"/>
  <c r="D167" i="2" a="1"/>
  <c r="D167" i="2" s="1"/>
  <c r="D168" i="2" a="1"/>
  <c r="D168" i="2" s="1"/>
  <c r="D169" i="2" a="1"/>
  <c r="D169" i="2" s="1"/>
  <c r="D170" i="2" a="1"/>
  <c r="D170" i="2" s="1"/>
  <c r="D171" i="2" a="1"/>
  <c r="D171" i="2" s="1"/>
  <c r="D172" i="2" a="1"/>
  <c r="D172" i="2" s="1"/>
  <c r="D173" i="2" a="1"/>
  <c r="D173" i="2" s="1"/>
  <c r="D174" i="2" a="1"/>
  <c r="D174" i="2" s="1"/>
  <c r="D175" i="2" a="1"/>
  <c r="D175" i="2" s="1"/>
  <c r="D176" i="2" a="1"/>
  <c r="D176" i="2" s="1"/>
  <c r="D177" i="2" a="1"/>
  <c r="D177" i="2" s="1"/>
  <c r="D178" i="2" a="1"/>
  <c r="D178" i="2" s="1"/>
  <c r="D179" i="2" a="1"/>
  <c r="D179" i="2" s="1"/>
  <c r="D180" i="2" a="1"/>
  <c r="D180" i="2" s="1"/>
  <c r="D181" i="2" a="1"/>
  <c r="D181" i="2" s="1"/>
  <c r="D182" i="2" a="1"/>
  <c r="D182" i="2" s="1"/>
  <c r="D183" i="2" a="1"/>
  <c r="D183" i="2" s="1"/>
  <c r="D184" i="2" a="1"/>
  <c r="D184" i="2" s="1"/>
  <c r="D185" i="2" a="1"/>
  <c r="D185" i="2" s="1"/>
  <c r="D186" i="2" a="1"/>
  <c r="D186" i="2" s="1"/>
  <c r="D187" i="2" a="1"/>
  <c r="D187" i="2" s="1"/>
  <c r="D188" i="2" a="1"/>
  <c r="D188" i="2" s="1"/>
  <c r="D189" i="2" a="1"/>
  <c r="D189" i="2" s="1"/>
  <c r="D190" i="2" a="1"/>
  <c r="D190" i="2" s="1"/>
  <c r="D191" i="2" a="1"/>
  <c r="D191" i="2" s="1"/>
  <c r="D192" i="2" a="1"/>
  <c r="D192" i="2" s="1"/>
  <c r="D193" i="2" a="1"/>
  <c r="D193" i="2" s="1"/>
  <c r="D194" i="2" a="1"/>
  <c r="D194" i="2" s="1"/>
  <c r="D195" i="2" a="1"/>
  <c r="D195" i="2" s="1"/>
  <c r="D196" i="2" a="1"/>
  <c r="D196" i="2" s="1"/>
  <c r="D197" i="2" a="1"/>
  <c r="D197" i="2" s="1"/>
  <c r="D198" i="2" a="1"/>
  <c r="D198" i="2" s="1"/>
  <c r="D199" i="2" a="1"/>
  <c r="D199" i="2" s="1"/>
  <c r="D200" i="2" a="1"/>
  <c r="D200" i="2" s="1"/>
  <c r="D201" i="2" a="1"/>
  <c r="D201" i="2" s="1"/>
  <c r="D202" i="2" a="1"/>
  <c r="D202" i="2" s="1"/>
  <c r="D203" i="2" a="1"/>
  <c r="D203" i="2" s="1"/>
  <c r="D204" i="2" a="1"/>
  <c r="D204" i="2" s="1"/>
  <c r="D205" i="2" a="1"/>
  <c r="D205" i="2" s="1"/>
  <c r="D206" i="2" a="1"/>
  <c r="D206" i="2" s="1"/>
  <c r="D207" i="2" a="1"/>
  <c r="D207" i="2" s="1"/>
  <c r="D208" i="2" a="1"/>
  <c r="D208" i="2" s="1"/>
  <c r="D209" i="2" a="1"/>
  <c r="D209" i="2" s="1"/>
  <c r="D210" i="2" a="1"/>
  <c r="D210" i="2" s="1"/>
  <c r="D211" i="2" a="1"/>
  <c r="D211" i="2" s="1"/>
  <c r="D212" i="2" a="1"/>
  <c r="D212" i="2" s="1"/>
  <c r="D213" i="2" a="1"/>
  <c r="D213" i="2" s="1"/>
  <c r="D214" i="2" a="1"/>
  <c r="D214" i="2" s="1"/>
  <c r="D215" i="2" a="1"/>
  <c r="D215" i="2" s="1"/>
  <c r="D216" i="2" a="1"/>
  <c r="D216" i="2" s="1"/>
  <c r="D217" i="2" a="1"/>
  <c r="D217" i="2" s="1"/>
  <c r="D218" i="2" a="1"/>
  <c r="D218" i="2" s="1"/>
  <c r="D219" i="2" a="1"/>
  <c r="D219" i="2" s="1"/>
  <c r="D220" i="2" a="1"/>
  <c r="D220" i="2" s="1"/>
  <c r="D221" i="2" a="1"/>
  <c r="D221" i="2" s="1"/>
  <c r="D222" i="2" a="1"/>
  <c r="D222" i="2" s="1"/>
  <c r="D223" i="2" a="1"/>
  <c r="D223" i="2" s="1"/>
  <c r="D224" i="2" a="1"/>
  <c r="D224" i="2" s="1"/>
  <c r="D225" i="2" a="1"/>
  <c r="D225" i="2" s="1"/>
  <c r="D226" i="2" a="1"/>
  <c r="D226" i="2" s="1"/>
  <c r="D227" i="2" a="1"/>
  <c r="D227" i="2" s="1"/>
  <c r="D228" i="2" a="1"/>
  <c r="D228" i="2" s="1"/>
  <c r="D229" i="2" a="1"/>
  <c r="D229" i="2" s="1"/>
  <c r="D230" i="2" a="1"/>
  <c r="D230" i="2" s="1"/>
  <c r="D231" i="2" a="1"/>
  <c r="D231" i="2" s="1"/>
  <c r="D232" i="2" a="1"/>
  <c r="D232" i="2" s="1"/>
  <c r="D233" i="2" a="1"/>
  <c r="D233" i="2" s="1"/>
  <c r="D234" i="2" a="1"/>
  <c r="D234" i="2" s="1"/>
  <c r="D235" i="2" a="1"/>
  <c r="D235" i="2" s="1"/>
  <c r="D236" i="2" a="1"/>
  <c r="D236" i="2" s="1"/>
  <c r="D237" i="2" a="1"/>
  <c r="D237" i="2" s="1"/>
  <c r="D238" i="2" a="1"/>
  <c r="D238" i="2" s="1"/>
  <c r="D239" i="2" a="1"/>
  <c r="D239" i="2" s="1"/>
  <c r="D240" i="2" a="1"/>
  <c r="D240" i="2" s="1"/>
  <c r="D241" i="2" a="1"/>
  <c r="D241" i="2" s="1"/>
  <c r="D242" i="2" a="1"/>
  <c r="D242" i="2" s="1"/>
  <c r="D243" i="2" a="1"/>
  <c r="D243" i="2" s="1"/>
  <c r="D244" i="2" a="1"/>
  <c r="D244" i="2" s="1"/>
  <c r="D245" i="2" a="1"/>
  <c r="D245" i="2" s="1"/>
  <c r="D246" i="2" a="1"/>
  <c r="D246" i="2" s="1"/>
  <c r="D247" i="2" a="1"/>
  <c r="D247" i="2" s="1"/>
  <c r="D248" i="2" a="1"/>
  <c r="D248" i="2" s="1"/>
  <c r="D249" i="2" a="1"/>
  <c r="D249" i="2" s="1"/>
  <c r="D250" i="2" a="1"/>
  <c r="D250" i="2" s="1"/>
  <c r="D251" i="2" a="1"/>
  <c r="D251" i="2" s="1"/>
  <c r="D252" i="2" a="1"/>
  <c r="D252" i="2" s="1"/>
  <c r="D253" i="2" a="1"/>
  <c r="D253" i="2" s="1"/>
  <c r="D254" i="2" a="1"/>
  <c r="D254" i="2" s="1"/>
  <c r="D255" i="2" a="1"/>
  <c r="D255" i="2" s="1"/>
  <c r="D256" i="2" a="1"/>
  <c r="D256" i="2" s="1"/>
  <c r="D257" i="2" a="1"/>
  <c r="D257" i="2" s="1"/>
  <c r="D258" i="2" a="1"/>
  <c r="D258" i="2" s="1"/>
  <c r="D259" i="2" a="1"/>
  <c r="D259" i="2" s="1"/>
  <c r="D260" i="2" a="1"/>
  <c r="D260" i="2" s="1"/>
  <c r="D261" i="2" a="1"/>
  <c r="D261" i="2" s="1"/>
  <c r="D262" i="2" a="1"/>
  <c r="D262" i="2" s="1"/>
  <c r="D263" i="2" a="1"/>
  <c r="D263" i="2" s="1"/>
  <c r="D264" i="2" a="1"/>
  <c r="D264" i="2" s="1"/>
  <c r="D265" i="2" a="1"/>
  <c r="D265" i="2" s="1"/>
  <c r="D266" i="2" a="1"/>
  <c r="D266" i="2" s="1"/>
  <c r="D267" i="2" a="1"/>
  <c r="D267" i="2" s="1"/>
  <c r="D268" i="2" a="1"/>
  <c r="D268" i="2" s="1"/>
  <c r="D269" i="2" a="1"/>
  <c r="D269" i="2" s="1"/>
  <c r="D270" i="2" a="1"/>
  <c r="D270" i="2" s="1"/>
  <c r="D271" i="2" a="1"/>
  <c r="D271" i="2" s="1"/>
  <c r="D272" i="2" a="1"/>
  <c r="D272" i="2" s="1"/>
  <c r="D273" i="2" a="1"/>
  <c r="D273" i="2" s="1"/>
  <c r="D274" i="2" a="1"/>
  <c r="D274" i="2" s="1"/>
  <c r="D275" i="2" a="1"/>
  <c r="D275" i="2" s="1"/>
  <c r="D276" i="2" a="1"/>
  <c r="D276" i="2" s="1"/>
  <c r="D277" i="2" a="1"/>
  <c r="D277" i="2" s="1"/>
  <c r="D278" i="2" a="1"/>
  <c r="D278" i="2" s="1"/>
  <c r="D279" i="2" a="1"/>
  <c r="D279" i="2" s="1"/>
  <c r="D280" i="2" a="1"/>
  <c r="D280" i="2" s="1"/>
  <c r="D281" i="2" a="1"/>
  <c r="D281" i="2" s="1"/>
  <c r="D282" i="2" a="1"/>
  <c r="D282" i="2" s="1"/>
  <c r="D283" i="2" a="1"/>
  <c r="D283" i="2" s="1"/>
  <c r="D284" i="2" a="1"/>
  <c r="D284" i="2" s="1"/>
  <c r="D285" i="2" a="1"/>
  <c r="D285" i="2" s="1"/>
  <c r="D286" i="2" a="1"/>
  <c r="D286" i="2" s="1"/>
  <c r="D287" i="2" a="1"/>
  <c r="D287" i="2" s="1"/>
  <c r="D288" i="2" a="1"/>
  <c r="D288" i="2" s="1"/>
  <c r="D289" i="2" a="1"/>
  <c r="D289" i="2" s="1"/>
  <c r="D290" i="2" a="1"/>
  <c r="D290" i="2" s="1"/>
  <c r="D291" i="2" a="1"/>
  <c r="D291" i="2" s="1"/>
  <c r="D292" i="2" a="1"/>
  <c r="D292" i="2" s="1"/>
  <c r="D293" i="2" a="1"/>
  <c r="D293" i="2" s="1"/>
  <c r="D294" i="2" a="1"/>
  <c r="D294" i="2" s="1"/>
  <c r="D295" i="2" a="1"/>
  <c r="D295" i="2" s="1"/>
  <c r="D296" i="2" a="1"/>
  <c r="D296" i="2" s="1"/>
  <c r="D297" i="2" a="1"/>
  <c r="D297" i="2" s="1"/>
  <c r="D298" i="2" a="1"/>
  <c r="D298" i="2" s="1"/>
  <c r="D299" i="2" a="1"/>
  <c r="D299" i="2" s="1"/>
  <c r="D300" i="2" a="1"/>
  <c r="D300" i="2" s="1"/>
  <c r="D301" i="2" a="1"/>
  <c r="D301" i="2" s="1"/>
  <c r="D302" i="2" a="1"/>
  <c r="D302" i="2" s="1"/>
  <c r="D303" i="2" a="1"/>
  <c r="D303" i="2" s="1"/>
  <c r="D304" i="2" a="1"/>
  <c r="D304" i="2" s="1"/>
  <c r="D305" i="2" a="1"/>
  <c r="D305" i="2" s="1"/>
  <c r="D306" i="2" a="1"/>
  <c r="D306" i="2" s="1"/>
  <c r="D307" i="2" a="1"/>
  <c r="D307" i="2" s="1"/>
  <c r="D308" i="2" a="1"/>
  <c r="D308" i="2" s="1"/>
  <c r="D309" i="2" a="1"/>
  <c r="D309" i="2" s="1"/>
  <c r="D310" i="2" a="1"/>
  <c r="D310" i="2" s="1"/>
  <c r="D311" i="2" a="1"/>
  <c r="D311" i="2" s="1"/>
  <c r="D312" i="2" a="1"/>
  <c r="D312" i="2" s="1"/>
  <c r="D313" i="2" a="1"/>
  <c r="D313" i="2" s="1"/>
  <c r="D314" i="2" a="1"/>
  <c r="D314" i="2" s="1"/>
  <c r="D315" i="2" a="1"/>
  <c r="D315" i="2" s="1"/>
  <c r="D316" i="2" a="1"/>
  <c r="D316" i="2" s="1"/>
  <c r="D317" i="2" a="1"/>
  <c r="D317" i="2" s="1"/>
  <c r="D318" i="2" a="1"/>
  <c r="D318" i="2" s="1"/>
  <c r="D319" i="2" a="1"/>
  <c r="D319" i="2" s="1"/>
  <c r="D320" i="2" a="1"/>
  <c r="D320" i="2" s="1"/>
  <c r="D321" i="2" a="1"/>
  <c r="D321" i="2" s="1"/>
  <c r="D322" i="2" a="1"/>
  <c r="D322" i="2" s="1"/>
  <c r="D323" i="2" a="1"/>
  <c r="D323" i="2" s="1"/>
  <c r="D324" i="2" a="1"/>
  <c r="D324" i="2" s="1"/>
  <c r="D325" i="2" a="1"/>
  <c r="D325" i="2" s="1"/>
  <c r="D326" i="2" a="1"/>
  <c r="D326" i="2" s="1"/>
  <c r="D327" i="2" a="1"/>
  <c r="D327" i="2" s="1"/>
  <c r="D328" i="2" a="1"/>
  <c r="D328" i="2" s="1"/>
  <c r="D329" i="2" a="1"/>
  <c r="D329" i="2" s="1"/>
  <c r="D330" i="2" a="1"/>
  <c r="D330" i="2" s="1"/>
  <c r="D331" i="2" a="1"/>
  <c r="D331" i="2" s="1"/>
  <c r="D332" i="2" a="1"/>
  <c r="D332" i="2" s="1"/>
  <c r="D333" i="2" a="1"/>
  <c r="D333" i="2" s="1"/>
  <c r="D334" i="2" a="1"/>
  <c r="D334" i="2" s="1"/>
  <c r="D335" i="2" a="1"/>
  <c r="D335" i="2" s="1"/>
  <c r="D336" i="2" a="1"/>
  <c r="D336" i="2" s="1"/>
  <c r="D337" i="2" a="1"/>
  <c r="D337" i="2" s="1"/>
  <c r="D338" i="2" a="1"/>
  <c r="D338" i="2" s="1"/>
  <c r="D339" i="2" a="1"/>
  <c r="D339" i="2" s="1"/>
  <c r="D340" i="2" a="1"/>
  <c r="D340" i="2" s="1"/>
  <c r="D341" i="2" a="1"/>
  <c r="D341" i="2" s="1"/>
  <c r="D342" i="2" a="1"/>
  <c r="D342" i="2" s="1"/>
  <c r="D343" i="2" a="1"/>
  <c r="D343" i="2" s="1"/>
  <c r="D344" i="2" a="1"/>
  <c r="D344" i="2" s="1"/>
  <c r="D345" i="2" a="1"/>
  <c r="D345" i="2" s="1"/>
  <c r="D346" i="2" a="1"/>
  <c r="D346" i="2" s="1"/>
  <c r="D347" i="2" a="1"/>
  <c r="D347" i="2" s="1"/>
  <c r="D348" i="2" a="1"/>
  <c r="D348" i="2" s="1"/>
  <c r="D349" i="2" a="1"/>
  <c r="D349" i="2" s="1"/>
  <c r="D350" i="2" a="1"/>
  <c r="D350" i="2" s="1"/>
  <c r="D351" i="2" a="1"/>
  <c r="D351" i="2" s="1"/>
  <c r="D352" i="2" a="1"/>
  <c r="D352" i="2" s="1"/>
  <c r="D353" i="2" a="1"/>
  <c r="D353" i="2" s="1"/>
  <c r="D354" i="2" a="1"/>
  <c r="D354" i="2" s="1"/>
  <c r="D355" i="2" a="1"/>
  <c r="D355" i="2" s="1"/>
  <c r="D356" i="2" a="1"/>
  <c r="D356" i="2" s="1"/>
  <c r="D357" i="2" a="1"/>
  <c r="D357" i="2" s="1"/>
  <c r="D358" i="2" a="1"/>
  <c r="D358" i="2" s="1"/>
  <c r="D359" i="2" a="1"/>
  <c r="D359" i="2" s="1"/>
  <c r="D360" i="2" a="1"/>
  <c r="D360" i="2" s="1"/>
  <c r="D361" i="2" a="1"/>
  <c r="D361" i="2" s="1"/>
  <c r="D362" i="2" a="1"/>
  <c r="D362" i="2" s="1"/>
  <c r="D363" i="2" a="1"/>
  <c r="D363" i="2" s="1"/>
  <c r="D364" i="2" a="1"/>
  <c r="D364" i="2" s="1"/>
  <c r="D365" i="2" a="1"/>
  <c r="D365" i="2" s="1"/>
  <c r="D366" i="2" a="1"/>
  <c r="D366" i="2" s="1"/>
  <c r="D367" i="2" a="1"/>
  <c r="D367" i="2" s="1"/>
  <c r="D368" i="2" a="1"/>
  <c r="D368" i="2" s="1"/>
  <c r="D369" i="2" a="1"/>
  <c r="D369" i="2" s="1"/>
  <c r="D370" i="2" a="1"/>
  <c r="D370" i="2" s="1"/>
  <c r="D371" i="2" a="1"/>
  <c r="D371" i="2" s="1"/>
  <c r="D372" i="2" a="1"/>
  <c r="D372" i="2" s="1"/>
  <c r="D373" i="2" a="1"/>
  <c r="D373" i="2" s="1"/>
  <c r="D374" i="2" a="1"/>
  <c r="D374" i="2" s="1"/>
  <c r="D375" i="2" a="1"/>
  <c r="D375" i="2" s="1"/>
  <c r="D376" i="2" a="1"/>
  <c r="D376" i="2" s="1"/>
  <c r="D377" i="2" a="1"/>
  <c r="D377" i="2" s="1"/>
  <c r="D378" i="2" a="1"/>
  <c r="D378" i="2" s="1"/>
  <c r="D379" i="2" a="1"/>
  <c r="D379" i="2" s="1"/>
  <c r="D380" i="2" a="1"/>
  <c r="D380" i="2" s="1"/>
  <c r="D381" i="2" a="1"/>
  <c r="D381" i="2" s="1"/>
  <c r="D382" i="2" a="1"/>
  <c r="D382" i="2" s="1"/>
  <c r="D383" i="2" a="1"/>
  <c r="D383" i="2" s="1"/>
  <c r="D384" i="2" a="1"/>
  <c r="D384" i="2" s="1"/>
  <c r="D385" i="2" a="1"/>
  <c r="D385" i="2" s="1"/>
  <c r="D386" i="2" a="1"/>
  <c r="D386" i="2" s="1"/>
  <c r="D387" i="2" a="1"/>
  <c r="D387" i="2" s="1"/>
  <c r="D388" i="2" a="1"/>
  <c r="D388" i="2" s="1"/>
  <c r="D389" i="2" a="1"/>
  <c r="D389" i="2" s="1"/>
  <c r="D390" i="2" a="1"/>
  <c r="D390" i="2" s="1"/>
  <c r="D391" i="2" a="1"/>
  <c r="D391" i="2" s="1"/>
  <c r="D392" i="2" a="1"/>
  <c r="D392" i="2" s="1"/>
  <c r="D393" i="2" a="1"/>
  <c r="D393" i="2" s="1"/>
  <c r="D394" i="2" a="1"/>
  <c r="D394" i="2" s="1"/>
  <c r="D395" i="2" a="1"/>
  <c r="D395" i="2" s="1"/>
  <c r="D396" i="2" a="1"/>
  <c r="D396" i="2" s="1"/>
  <c r="D397" i="2" a="1"/>
  <c r="D397" i="2" s="1"/>
  <c r="D398" i="2" a="1"/>
  <c r="D398" i="2" s="1"/>
  <c r="D399" i="2" a="1"/>
  <c r="D399" i="2" s="1"/>
  <c r="D400" i="2" a="1"/>
  <c r="D400" i="2" s="1"/>
  <c r="D401" i="2" a="1"/>
  <c r="D401" i="2" s="1"/>
  <c r="D402" i="2" a="1"/>
  <c r="D402" i="2" s="1"/>
  <c r="D403" i="2" a="1"/>
  <c r="D403" i="2" s="1"/>
  <c r="D404" i="2" a="1"/>
  <c r="D404" i="2" s="1"/>
  <c r="D405" i="2" a="1"/>
  <c r="D405" i="2" s="1"/>
  <c r="D406" i="2" a="1"/>
  <c r="D406" i="2" s="1"/>
  <c r="D407" i="2" a="1"/>
  <c r="D407" i="2" s="1"/>
  <c r="D408" i="2" a="1"/>
  <c r="D408" i="2" s="1"/>
  <c r="D409" i="2" a="1"/>
  <c r="D409" i="2" s="1"/>
  <c r="D410" i="2" a="1"/>
  <c r="D410" i="2" s="1"/>
  <c r="D411" i="2" a="1"/>
  <c r="D411" i="2" s="1"/>
  <c r="D412" i="2" a="1"/>
  <c r="D412" i="2" s="1"/>
  <c r="D413" i="2" a="1"/>
  <c r="D413" i="2" s="1"/>
  <c r="D414" i="2" a="1"/>
  <c r="D414" i="2" s="1"/>
  <c r="D415" i="2" a="1"/>
  <c r="D415" i="2" s="1"/>
  <c r="D416" i="2" a="1"/>
  <c r="D416" i="2" s="1"/>
  <c r="D417" i="2" a="1"/>
  <c r="D417" i="2" s="1"/>
  <c r="D418" i="2" a="1"/>
  <c r="D418" i="2" s="1"/>
  <c r="D419" i="2" a="1"/>
  <c r="D419" i="2" s="1"/>
  <c r="D420" i="2" a="1"/>
  <c r="D420" i="2" s="1"/>
  <c r="D421" i="2" a="1"/>
  <c r="D421" i="2" s="1"/>
  <c r="D422" i="2" a="1"/>
  <c r="D422" i="2" s="1"/>
  <c r="D423" i="2" a="1"/>
  <c r="D423" i="2" s="1"/>
  <c r="D424" i="2" a="1"/>
  <c r="D424" i="2" s="1"/>
  <c r="D425" i="2" a="1"/>
  <c r="D425" i="2" s="1"/>
  <c r="D426" i="2" a="1"/>
  <c r="D426" i="2" s="1"/>
  <c r="D427" i="2" a="1"/>
  <c r="D427" i="2" s="1"/>
  <c r="D428" i="2" a="1"/>
  <c r="D428" i="2" s="1"/>
  <c r="D429" i="2" a="1"/>
  <c r="D429" i="2" s="1"/>
  <c r="D430" i="2" a="1"/>
  <c r="D430" i="2" s="1"/>
  <c r="D431" i="2" a="1"/>
  <c r="D431" i="2" s="1"/>
  <c r="D432" i="2" a="1"/>
  <c r="D432" i="2" s="1"/>
  <c r="D433" i="2" a="1"/>
  <c r="D433" i="2" s="1"/>
  <c r="D434" i="2" a="1"/>
  <c r="D434" i="2" s="1"/>
  <c r="D435" i="2" a="1"/>
  <c r="D435" i="2" s="1"/>
  <c r="D436" i="2" a="1"/>
  <c r="D436" i="2" s="1"/>
  <c r="D437" i="2" a="1"/>
  <c r="D437" i="2" s="1"/>
  <c r="D438" i="2" a="1"/>
  <c r="D438" i="2" s="1"/>
  <c r="D439" i="2" a="1"/>
  <c r="D439" i="2" s="1"/>
  <c r="D440" i="2" a="1"/>
  <c r="D440" i="2" s="1"/>
  <c r="D441" i="2" a="1"/>
  <c r="D441" i="2" s="1"/>
  <c r="D442" i="2" a="1"/>
  <c r="D442" i="2" s="1"/>
  <c r="D443" i="2" a="1"/>
  <c r="D443" i="2" s="1"/>
  <c r="D444" i="2" a="1"/>
  <c r="D444" i="2" s="1"/>
  <c r="D445" i="2" a="1"/>
  <c r="D445" i="2" s="1"/>
  <c r="D446" i="2" a="1"/>
  <c r="D446" i="2" s="1"/>
  <c r="D447" i="2" a="1"/>
  <c r="D447" i="2" s="1"/>
  <c r="D448" i="2" a="1"/>
  <c r="D448" i="2" s="1"/>
  <c r="D449" i="2" a="1"/>
  <c r="D449" i="2" s="1"/>
  <c r="D450" i="2" a="1"/>
  <c r="D450" i="2" s="1"/>
  <c r="D451" i="2" a="1"/>
  <c r="D451" i="2" s="1"/>
  <c r="D452" i="2" a="1"/>
  <c r="D452" i="2" s="1"/>
  <c r="D453" i="2" a="1"/>
  <c r="D453" i="2" s="1"/>
  <c r="D454" i="2" a="1"/>
  <c r="D454" i="2" s="1"/>
  <c r="D455" i="2" a="1"/>
  <c r="D455" i="2" s="1"/>
  <c r="D456" i="2" a="1"/>
  <c r="D456" i="2" s="1"/>
  <c r="D457" i="2" a="1"/>
  <c r="D457" i="2" s="1"/>
  <c r="D458" i="2" a="1"/>
  <c r="D458" i="2" s="1"/>
  <c r="D459" i="2" a="1"/>
  <c r="D459" i="2" s="1"/>
  <c r="D460" i="2" a="1"/>
  <c r="D460" i="2" s="1"/>
  <c r="D461" i="2" a="1"/>
  <c r="D461" i="2" s="1"/>
  <c r="D462" i="2" a="1"/>
  <c r="D462" i="2" s="1"/>
  <c r="D463" i="2" a="1"/>
  <c r="D463" i="2" s="1"/>
  <c r="D464" i="2" a="1"/>
  <c r="D464" i="2" s="1"/>
  <c r="D465" i="2" a="1"/>
  <c r="D465" i="2" s="1"/>
  <c r="D466" i="2" a="1"/>
  <c r="D466" i="2" s="1"/>
  <c r="D467" i="2" a="1"/>
  <c r="D467" i="2" s="1"/>
  <c r="D468" i="2" a="1"/>
  <c r="D468" i="2" s="1"/>
  <c r="D469" i="2" a="1"/>
  <c r="D469" i="2" s="1"/>
  <c r="D470" i="2" a="1"/>
  <c r="D470" i="2" s="1"/>
  <c r="D471" i="2" a="1"/>
  <c r="D471" i="2" s="1"/>
  <c r="D472" i="2" a="1"/>
  <c r="D472" i="2" s="1"/>
  <c r="D473" i="2" a="1"/>
  <c r="D473" i="2" s="1"/>
  <c r="D474" i="2" a="1"/>
  <c r="D474" i="2" s="1"/>
  <c r="D475" i="2" a="1"/>
  <c r="D475" i="2" s="1"/>
  <c r="D476" i="2" a="1"/>
  <c r="D476" i="2" s="1"/>
  <c r="D477" i="2" a="1"/>
  <c r="D477" i="2" s="1"/>
  <c r="D478" i="2" a="1"/>
  <c r="D478" i="2" s="1"/>
  <c r="D479" i="2" a="1"/>
  <c r="D479" i="2" s="1"/>
  <c r="D480" i="2" a="1"/>
  <c r="D480" i="2" s="1"/>
  <c r="D481" i="2" a="1"/>
  <c r="D481" i="2" s="1"/>
  <c r="D482" i="2" a="1"/>
  <c r="D482" i="2" s="1"/>
  <c r="D483" i="2" a="1"/>
  <c r="D483" i="2" s="1"/>
  <c r="D484" i="2" a="1"/>
  <c r="D484" i="2" s="1"/>
  <c r="D485" i="2" a="1"/>
  <c r="D485" i="2" s="1"/>
  <c r="D486" i="2" a="1"/>
  <c r="D486" i="2" s="1"/>
  <c r="D487" i="2" a="1"/>
  <c r="D487" i="2" s="1"/>
  <c r="D488" i="2" a="1"/>
  <c r="D488" i="2" s="1"/>
  <c r="D489" i="2" a="1"/>
  <c r="D489" i="2" s="1"/>
  <c r="D490" i="2" a="1"/>
  <c r="D490" i="2" s="1"/>
  <c r="D491" i="2" a="1"/>
  <c r="D491" i="2" s="1"/>
  <c r="D492" i="2" a="1"/>
  <c r="D492" i="2" s="1"/>
  <c r="D493" i="2" a="1"/>
  <c r="D493" i="2" s="1"/>
  <c r="D494" i="2" a="1"/>
  <c r="D494" i="2" s="1"/>
  <c r="D495" i="2" a="1"/>
  <c r="D495" i="2" s="1"/>
  <c r="D496" i="2" a="1"/>
  <c r="D496" i="2" s="1"/>
  <c r="D497" i="2" a="1"/>
  <c r="D497" i="2" s="1"/>
  <c r="D498" i="2" a="1"/>
  <c r="D498" i="2" s="1"/>
  <c r="D499" i="2" a="1"/>
  <c r="D499" i="2" s="1"/>
  <c r="D500" i="2" a="1"/>
  <c r="D500" i="2" s="1"/>
  <c r="D501" i="2" a="1"/>
  <c r="D501" i="2" s="1"/>
  <c r="D502" i="2" a="1"/>
  <c r="D502" i="2" s="1"/>
  <c r="D503" i="2" a="1"/>
  <c r="D503" i="2" s="1"/>
  <c r="D504" i="2" a="1"/>
  <c r="D504" i="2" s="1"/>
  <c r="D505" i="2" a="1"/>
  <c r="D505" i="2" s="1"/>
  <c r="D506" i="2" a="1"/>
  <c r="D506" i="2" s="1"/>
  <c r="D507" i="2" a="1"/>
  <c r="D507" i="2" s="1"/>
  <c r="D508" i="2" a="1"/>
  <c r="D508" i="2" s="1"/>
  <c r="D509" i="2" a="1"/>
  <c r="D509" i="2" s="1"/>
  <c r="D510" i="2" a="1"/>
  <c r="D510" i="2" s="1"/>
  <c r="D511" i="2" a="1"/>
  <c r="D511" i="2" s="1"/>
  <c r="D512" i="2" a="1"/>
  <c r="D512" i="2" s="1"/>
  <c r="D513" i="2" a="1"/>
  <c r="D513" i="2" s="1"/>
  <c r="D514" i="2" a="1"/>
  <c r="D514" i="2" s="1"/>
  <c r="D515" i="2" a="1"/>
  <c r="D515" i="2" s="1"/>
  <c r="D516" i="2" a="1"/>
  <c r="D516" i="2" s="1"/>
  <c r="D517" i="2" a="1"/>
  <c r="D517" i="2" s="1"/>
  <c r="D518" i="2" a="1"/>
  <c r="D518" i="2" s="1"/>
  <c r="D519" i="2" a="1"/>
  <c r="D519" i="2" s="1"/>
  <c r="D520" i="2" a="1"/>
  <c r="D520" i="2" s="1"/>
  <c r="D521" i="2" a="1"/>
  <c r="D521" i="2" s="1"/>
  <c r="D522" i="2" a="1"/>
  <c r="D522" i="2" s="1"/>
  <c r="D523" i="2" a="1"/>
  <c r="D523" i="2" s="1"/>
  <c r="D524" i="2" a="1"/>
  <c r="D524" i="2" s="1"/>
  <c r="D525" i="2" a="1"/>
  <c r="D525" i="2" s="1"/>
  <c r="D526" i="2" a="1"/>
  <c r="D526" i="2" s="1"/>
  <c r="D527" i="2" a="1"/>
  <c r="D527" i="2" s="1"/>
  <c r="D528" i="2" a="1"/>
  <c r="D528" i="2" s="1"/>
  <c r="D529" i="2" a="1"/>
  <c r="D529" i="2" s="1"/>
  <c r="D530" i="2" a="1"/>
  <c r="D530" i="2" s="1"/>
  <c r="D531" i="2" a="1"/>
  <c r="D531" i="2" s="1"/>
  <c r="D2" i="2" a="1"/>
  <c r="D2" i="2" s="1"/>
  <c r="C3" i="2" a="1"/>
  <c r="C3" i="2" s="1"/>
  <c r="C4" i="2" a="1"/>
  <c r="C4" i="2" s="1"/>
  <c r="C5" i="2" a="1"/>
  <c r="C5" i="2" s="1"/>
  <c r="C6" i="2" a="1"/>
  <c r="C6" i="2" s="1"/>
  <c r="C7" i="2" a="1"/>
  <c r="C7" i="2" s="1"/>
  <c r="C8" i="2" a="1"/>
  <c r="C8" i="2" s="1"/>
  <c r="C9" i="2" a="1"/>
  <c r="C9" i="2" s="1"/>
  <c r="C10" i="2" a="1"/>
  <c r="C10" i="2"/>
  <c r="C11" i="2" a="1"/>
  <c r="C11" i="2" s="1"/>
  <c r="C12" i="2" a="1"/>
  <c r="C12" i="2" s="1"/>
  <c r="C13" i="2" a="1"/>
  <c r="C13" i="2" s="1"/>
  <c r="C14" i="2" a="1"/>
  <c r="C14" i="2" s="1"/>
  <c r="C15" i="2" a="1"/>
  <c r="C15" i="2" s="1"/>
  <c r="C16" i="2" a="1"/>
  <c r="C16" i="2" s="1"/>
  <c r="C17" i="2" a="1"/>
  <c r="C17" i="2" s="1"/>
  <c r="C18" i="2" a="1"/>
  <c r="C18" i="2"/>
  <c r="C19" i="2" a="1"/>
  <c r="C19" i="2" s="1"/>
  <c r="C20" i="2" a="1"/>
  <c r="C20" i="2" s="1"/>
  <c r="C21" i="2" a="1"/>
  <c r="C21" i="2" s="1"/>
  <c r="C22" i="2" a="1"/>
  <c r="C22" i="2" s="1"/>
  <c r="C23" i="2" a="1"/>
  <c r="C23" i="2" s="1"/>
  <c r="C24" i="2" a="1"/>
  <c r="C24" i="2" s="1"/>
  <c r="C25" i="2" a="1"/>
  <c r="C25" i="2" s="1"/>
  <c r="C26" i="2" a="1"/>
  <c r="C26" i="2"/>
  <c r="C27" i="2" a="1"/>
  <c r="C27" i="2" s="1"/>
  <c r="C28" i="2" a="1"/>
  <c r="C28" i="2" s="1"/>
  <c r="C29" i="2" a="1"/>
  <c r="C29" i="2" s="1"/>
  <c r="C30" i="2" a="1"/>
  <c r="C30" i="2" s="1"/>
  <c r="C31" i="2" a="1"/>
  <c r="C31" i="2" s="1"/>
  <c r="C32" i="2" a="1"/>
  <c r="C32" i="2" s="1"/>
  <c r="C33" i="2" a="1"/>
  <c r="C33" i="2" s="1"/>
  <c r="C34" i="2" a="1"/>
  <c r="C34" i="2"/>
  <c r="C35" i="2" a="1"/>
  <c r="C35" i="2" s="1"/>
  <c r="C36" i="2" a="1"/>
  <c r="C36" i="2" s="1"/>
  <c r="C37" i="2" a="1"/>
  <c r="C37" i="2" s="1"/>
  <c r="C38" i="2" a="1"/>
  <c r="C38" i="2" s="1"/>
  <c r="C39" i="2" a="1"/>
  <c r="C39" i="2" s="1"/>
  <c r="C40" i="2" a="1"/>
  <c r="C40" i="2" s="1"/>
  <c r="C41" i="2" a="1"/>
  <c r="C41" i="2" s="1"/>
  <c r="C42" i="2" a="1"/>
  <c r="C42" i="2"/>
  <c r="C43" i="2" a="1"/>
  <c r="C43" i="2" s="1"/>
  <c r="C44" i="2" a="1"/>
  <c r="C44" i="2" s="1"/>
  <c r="C45" i="2" a="1"/>
  <c r="C45" i="2" s="1"/>
  <c r="C46" i="2" a="1"/>
  <c r="C46" i="2" s="1"/>
  <c r="C47" i="2" a="1"/>
  <c r="C47" i="2" s="1"/>
  <c r="C48" i="2" a="1"/>
  <c r="C48" i="2" s="1"/>
  <c r="C49" i="2" a="1"/>
  <c r="C49" i="2" s="1"/>
  <c r="C50" i="2" a="1"/>
  <c r="C50" i="2"/>
  <c r="C51" i="2" a="1"/>
  <c r="C51" i="2" s="1"/>
  <c r="C52" i="2" a="1"/>
  <c r="C52" i="2" s="1"/>
  <c r="C53" i="2" a="1"/>
  <c r="C53" i="2" s="1"/>
  <c r="C54" i="2" a="1"/>
  <c r="C54" i="2" s="1"/>
  <c r="C55" i="2" a="1"/>
  <c r="C55" i="2" s="1"/>
  <c r="C56" i="2" a="1"/>
  <c r="C56" i="2" s="1"/>
  <c r="C57" i="2" a="1"/>
  <c r="C57" i="2" s="1"/>
  <c r="C58" i="2" a="1"/>
  <c r="C58" i="2"/>
  <c r="C59" i="2" a="1"/>
  <c r="C59" i="2" s="1"/>
  <c r="C60" i="2" a="1"/>
  <c r="C60" i="2" s="1"/>
  <c r="C61" i="2" a="1"/>
  <c r="C61" i="2" s="1"/>
  <c r="C62" i="2" a="1"/>
  <c r="C62" i="2" s="1"/>
  <c r="C63" i="2" a="1"/>
  <c r="C63" i="2" s="1"/>
  <c r="C64" i="2" a="1"/>
  <c r="C64" i="2" s="1"/>
  <c r="C65" i="2" a="1"/>
  <c r="C65" i="2" s="1"/>
  <c r="C66" i="2" a="1"/>
  <c r="C66" i="2"/>
  <c r="C67" i="2" a="1"/>
  <c r="C67" i="2" s="1"/>
  <c r="C68" i="2" a="1"/>
  <c r="C68" i="2" s="1"/>
  <c r="C69" i="2" a="1"/>
  <c r="C69" i="2" s="1"/>
  <c r="C70" i="2" a="1"/>
  <c r="C70" i="2" s="1"/>
  <c r="C71" i="2" a="1"/>
  <c r="C71" i="2" s="1"/>
  <c r="C72" i="2" a="1"/>
  <c r="C72" i="2" s="1"/>
  <c r="C73" i="2" a="1"/>
  <c r="C73" i="2" s="1"/>
  <c r="C74" i="2" a="1"/>
  <c r="C74" i="2"/>
  <c r="C75" i="2" a="1"/>
  <c r="C75" i="2" s="1"/>
  <c r="C76" i="2" a="1"/>
  <c r="C76" i="2" s="1"/>
  <c r="C77" i="2" a="1"/>
  <c r="C77" i="2" s="1"/>
  <c r="C78" i="2" a="1"/>
  <c r="C78" i="2" s="1"/>
  <c r="C79" i="2" a="1"/>
  <c r="C79" i="2" s="1"/>
  <c r="C80" i="2" a="1"/>
  <c r="C80" i="2" s="1"/>
  <c r="C81" i="2" a="1"/>
  <c r="C81" i="2" s="1"/>
  <c r="C82" i="2" a="1"/>
  <c r="C82" i="2"/>
  <c r="C83" i="2" a="1"/>
  <c r="C83" i="2" s="1"/>
  <c r="C84" i="2" a="1"/>
  <c r="C84" i="2" s="1"/>
  <c r="C85" i="2" a="1"/>
  <c r="C85" i="2" s="1"/>
  <c r="C86" i="2" a="1"/>
  <c r="C86" i="2" s="1"/>
  <c r="C87" i="2" a="1"/>
  <c r="C87" i="2" s="1"/>
  <c r="C88" i="2" a="1"/>
  <c r="C88" i="2" s="1"/>
  <c r="C89" i="2" a="1"/>
  <c r="C89" i="2" s="1"/>
  <c r="C90" i="2" a="1"/>
  <c r="C90" i="2"/>
  <c r="C91" i="2" a="1"/>
  <c r="C91" i="2" s="1"/>
  <c r="C92" i="2" a="1"/>
  <c r="C92" i="2" s="1"/>
  <c r="C93" i="2" a="1"/>
  <c r="C93" i="2" s="1"/>
  <c r="C94" i="2" a="1"/>
  <c r="C94" i="2" s="1"/>
  <c r="C95" i="2" a="1"/>
  <c r="C95" i="2" s="1"/>
  <c r="C96" i="2" a="1"/>
  <c r="C96" i="2" s="1"/>
  <c r="C97" i="2" a="1"/>
  <c r="C97" i="2" s="1"/>
  <c r="C98" i="2" a="1"/>
  <c r="C98" i="2"/>
  <c r="C99" i="2" a="1"/>
  <c r="C99" i="2" s="1"/>
  <c r="C100" i="2" a="1"/>
  <c r="C100" i="2" s="1"/>
  <c r="C101" i="2" a="1"/>
  <c r="C101" i="2" s="1"/>
  <c r="C102" i="2" a="1"/>
  <c r="C102" i="2" s="1"/>
  <c r="C103" i="2" a="1"/>
  <c r="C103" i="2" s="1"/>
  <c r="C104" i="2" a="1"/>
  <c r="C104" i="2" s="1"/>
  <c r="C105" i="2" a="1"/>
  <c r="C105" i="2" s="1"/>
  <c r="C106" i="2" a="1"/>
  <c r="C106" i="2"/>
  <c r="C107" i="2" a="1"/>
  <c r="C107" i="2" s="1"/>
  <c r="C108" i="2" a="1"/>
  <c r="C108" i="2" s="1"/>
  <c r="C109" i="2" a="1"/>
  <c r="C109" i="2" s="1"/>
  <c r="C110" i="2" a="1"/>
  <c r="C110" i="2" s="1"/>
  <c r="C111" i="2" a="1"/>
  <c r="C111" i="2" s="1"/>
  <c r="C112" i="2" a="1"/>
  <c r="C112" i="2" s="1"/>
  <c r="C113" i="2" a="1"/>
  <c r="C113" i="2" s="1"/>
  <c r="C114" i="2" a="1"/>
  <c r="C114" i="2"/>
  <c r="C115" i="2" a="1"/>
  <c r="C115" i="2" s="1"/>
  <c r="C116" i="2" a="1"/>
  <c r="C116" i="2" s="1"/>
  <c r="C117" i="2" a="1"/>
  <c r="C117" i="2" s="1"/>
  <c r="C118" i="2" a="1"/>
  <c r="C118" i="2" s="1"/>
  <c r="C119" i="2" a="1"/>
  <c r="C119" i="2" s="1"/>
  <c r="C120" i="2" a="1"/>
  <c r="C120" i="2" s="1"/>
  <c r="C121" i="2" a="1"/>
  <c r="C121" i="2" s="1"/>
  <c r="C122" i="2" a="1"/>
  <c r="C122" i="2" s="1"/>
  <c r="C123" i="2" a="1"/>
  <c r="C123" i="2" s="1"/>
  <c r="C124" i="2" a="1"/>
  <c r="C124" i="2" s="1"/>
  <c r="C125" i="2" a="1"/>
  <c r="C125" i="2" s="1"/>
  <c r="C126" i="2" a="1"/>
  <c r="C126" i="2" s="1"/>
  <c r="C127" i="2" a="1"/>
  <c r="C127" i="2" s="1"/>
  <c r="C128" i="2" a="1"/>
  <c r="C128" i="2" s="1"/>
  <c r="C129" i="2" a="1"/>
  <c r="C129" i="2" s="1"/>
  <c r="C130" i="2" a="1"/>
  <c r="C130" i="2" s="1"/>
  <c r="C131" i="2" a="1"/>
  <c r="C131" i="2" s="1"/>
  <c r="C132" i="2" a="1"/>
  <c r="C132" i="2" s="1"/>
  <c r="C133" i="2" a="1"/>
  <c r="C133" i="2" s="1"/>
  <c r="C134" i="2" a="1"/>
  <c r="C134" i="2" s="1"/>
  <c r="C135" i="2" a="1"/>
  <c r="C135" i="2" s="1"/>
  <c r="C136" i="2" a="1"/>
  <c r="C136" i="2" s="1"/>
  <c r="C137" i="2" a="1"/>
  <c r="C137" i="2" s="1"/>
  <c r="C138" i="2" a="1"/>
  <c r="C138" i="2" s="1"/>
  <c r="C139" i="2" a="1"/>
  <c r="C139" i="2" s="1"/>
  <c r="C140" i="2" a="1"/>
  <c r="C140" i="2" s="1"/>
  <c r="C141" i="2" a="1"/>
  <c r="C141" i="2" s="1"/>
  <c r="C142" i="2" a="1"/>
  <c r="C142" i="2" s="1"/>
  <c r="C143" i="2" a="1"/>
  <c r="C143" i="2" s="1"/>
  <c r="C144" i="2" a="1"/>
  <c r="C144" i="2" s="1"/>
  <c r="C145" i="2" a="1"/>
  <c r="C145" i="2" s="1"/>
  <c r="C146" i="2" a="1"/>
  <c r="C146" i="2" s="1"/>
  <c r="C147" i="2" a="1"/>
  <c r="C147" i="2" s="1"/>
  <c r="C148" i="2" a="1"/>
  <c r="C148" i="2" s="1"/>
  <c r="C149" i="2" a="1"/>
  <c r="C149" i="2" s="1"/>
  <c r="C150" i="2" a="1"/>
  <c r="C150" i="2" s="1"/>
  <c r="C151" i="2" a="1"/>
  <c r="C151" i="2" s="1"/>
  <c r="C152" i="2" a="1"/>
  <c r="C152" i="2" s="1"/>
  <c r="C153" i="2" a="1"/>
  <c r="C153" i="2" s="1"/>
  <c r="C154" i="2" a="1"/>
  <c r="C154" i="2" s="1"/>
  <c r="C155" i="2" a="1"/>
  <c r="C155" i="2" s="1"/>
  <c r="C156" i="2" a="1"/>
  <c r="C156" i="2" s="1"/>
  <c r="C157" i="2" a="1"/>
  <c r="C157" i="2" s="1"/>
  <c r="C158" i="2" a="1"/>
  <c r="C158" i="2" s="1"/>
  <c r="C159" i="2" a="1"/>
  <c r="C159" i="2" s="1"/>
  <c r="C160" i="2" a="1"/>
  <c r="C160" i="2" s="1"/>
  <c r="C161" i="2" a="1"/>
  <c r="C161" i="2" s="1"/>
  <c r="C162" i="2" a="1"/>
  <c r="C162" i="2" s="1"/>
  <c r="C163" i="2" a="1"/>
  <c r="C163" i="2" s="1"/>
  <c r="C164" i="2" a="1"/>
  <c r="C164" i="2" s="1"/>
  <c r="C165" i="2" a="1"/>
  <c r="C165" i="2" s="1"/>
  <c r="C166" i="2" a="1"/>
  <c r="C166" i="2" s="1"/>
  <c r="C167" i="2" a="1"/>
  <c r="C167" i="2" s="1"/>
  <c r="C168" i="2" a="1"/>
  <c r="C168" i="2" s="1"/>
  <c r="C169" i="2" a="1"/>
  <c r="C169" i="2" s="1"/>
  <c r="C170" i="2" a="1"/>
  <c r="C170" i="2" s="1"/>
  <c r="C171" i="2" a="1"/>
  <c r="C171" i="2" s="1"/>
  <c r="C172" i="2" a="1"/>
  <c r="C172" i="2" s="1"/>
  <c r="C173" i="2" a="1"/>
  <c r="C173" i="2" s="1"/>
  <c r="C174" i="2" a="1"/>
  <c r="C174" i="2" s="1"/>
  <c r="C175" i="2" a="1"/>
  <c r="C175" i="2" s="1"/>
  <c r="C176" i="2" a="1"/>
  <c r="C176" i="2" s="1"/>
  <c r="C177" i="2" a="1"/>
  <c r="C177" i="2" s="1"/>
  <c r="C178" i="2" a="1"/>
  <c r="C178" i="2" s="1"/>
  <c r="C179" i="2" a="1"/>
  <c r="C179" i="2" s="1"/>
  <c r="C180" i="2" a="1"/>
  <c r="C180" i="2" s="1"/>
  <c r="C181" i="2" a="1"/>
  <c r="C181" i="2" s="1"/>
  <c r="C182" i="2" a="1"/>
  <c r="C182" i="2" s="1"/>
  <c r="C183" i="2" a="1"/>
  <c r="C183" i="2" s="1"/>
  <c r="C184" i="2" a="1"/>
  <c r="C184" i="2" s="1"/>
  <c r="C185" i="2" a="1"/>
  <c r="C185" i="2" s="1"/>
  <c r="C186" i="2" a="1"/>
  <c r="C186" i="2" s="1"/>
  <c r="C187" i="2" a="1"/>
  <c r="C187" i="2" s="1"/>
  <c r="C188" i="2" a="1"/>
  <c r="C188" i="2" s="1"/>
  <c r="C189" i="2" a="1"/>
  <c r="C189" i="2" s="1"/>
  <c r="C190" i="2" a="1"/>
  <c r="C190" i="2" s="1"/>
  <c r="C191" i="2" a="1"/>
  <c r="C191" i="2" s="1"/>
  <c r="C192" i="2" a="1"/>
  <c r="C192" i="2" s="1"/>
  <c r="C193" i="2" a="1"/>
  <c r="C193" i="2" s="1"/>
  <c r="C194" i="2" a="1"/>
  <c r="C194" i="2" s="1"/>
  <c r="C195" i="2" a="1"/>
  <c r="C195" i="2" s="1"/>
  <c r="C196" i="2" a="1"/>
  <c r="C196" i="2" s="1"/>
  <c r="C197" i="2" a="1"/>
  <c r="C197" i="2" s="1"/>
  <c r="C198" i="2" a="1"/>
  <c r="C198" i="2" s="1"/>
  <c r="C199" i="2" a="1"/>
  <c r="C199" i="2" s="1"/>
  <c r="C200" i="2" a="1"/>
  <c r="C200" i="2" s="1"/>
  <c r="C201" i="2" a="1"/>
  <c r="C201" i="2" s="1"/>
  <c r="C202" i="2" a="1"/>
  <c r="C202" i="2" s="1"/>
  <c r="C203" i="2" a="1"/>
  <c r="C203" i="2" s="1"/>
  <c r="C204" i="2" a="1"/>
  <c r="C204" i="2" s="1"/>
  <c r="C205" i="2" a="1"/>
  <c r="C205" i="2" s="1"/>
  <c r="C206" i="2" a="1"/>
  <c r="C206" i="2" s="1"/>
  <c r="C207" i="2" a="1"/>
  <c r="C207" i="2" s="1"/>
  <c r="C208" i="2" a="1"/>
  <c r="C208" i="2" s="1"/>
  <c r="C209" i="2" a="1"/>
  <c r="C209" i="2" s="1"/>
  <c r="C210" i="2" a="1"/>
  <c r="C210" i="2" s="1"/>
  <c r="C211" i="2" a="1"/>
  <c r="C211" i="2" s="1"/>
  <c r="C212" i="2" a="1"/>
  <c r="C212" i="2" s="1"/>
  <c r="C213" i="2" a="1"/>
  <c r="C213" i="2" s="1"/>
  <c r="C214" i="2" a="1"/>
  <c r="C214" i="2" s="1"/>
  <c r="C215" i="2" a="1"/>
  <c r="C215" i="2" s="1"/>
  <c r="C216" i="2" a="1"/>
  <c r="C216" i="2" s="1"/>
  <c r="C217" i="2" a="1"/>
  <c r="C217" i="2" s="1"/>
  <c r="C218" i="2" a="1"/>
  <c r="C218" i="2" s="1"/>
  <c r="C219" i="2" a="1"/>
  <c r="C219" i="2" s="1"/>
  <c r="C220" i="2" a="1"/>
  <c r="C220" i="2" s="1"/>
  <c r="C221" i="2" a="1"/>
  <c r="C221" i="2" s="1"/>
  <c r="C222" i="2" a="1"/>
  <c r="C222" i="2" s="1"/>
  <c r="C223" i="2" a="1"/>
  <c r="C223" i="2" s="1"/>
  <c r="C224" i="2" a="1"/>
  <c r="C224" i="2" s="1"/>
  <c r="C225" i="2" a="1"/>
  <c r="C225" i="2" s="1"/>
  <c r="C226" i="2" a="1"/>
  <c r="C226" i="2" s="1"/>
  <c r="C227" i="2" a="1"/>
  <c r="C227" i="2" s="1"/>
  <c r="C228" i="2" a="1"/>
  <c r="C228" i="2" s="1"/>
  <c r="C229" i="2" a="1"/>
  <c r="C229" i="2" s="1"/>
  <c r="C230" i="2" a="1"/>
  <c r="C230" i="2" s="1"/>
  <c r="C231" i="2" a="1"/>
  <c r="C231" i="2" s="1"/>
  <c r="C232" i="2" a="1"/>
  <c r="C232" i="2" s="1"/>
  <c r="C233" i="2" a="1"/>
  <c r="C233" i="2" s="1"/>
  <c r="C234" i="2" a="1"/>
  <c r="C234" i="2" s="1"/>
  <c r="C235" i="2" a="1"/>
  <c r="C235" i="2" s="1"/>
  <c r="C236" i="2" a="1"/>
  <c r="C236" i="2" s="1"/>
  <c r="C237" i="2" a="1"/>
  <c r="C237" i="2" s="1"/>
  <c r="C238" i="2" a="1"/>
  <c r="C238" i="2" s="1"/>
  <c r="C239" i="2" a="1"/>
  <c r="C239" i="2" s="1"/>
  <c r="C240" i="2" a="1"/>
  <c r="C240" i="2" s="1"/>
  <c r="C241" i="2" a="1"/>
  <c r="C241" i="2" s="1"/>
  <c r="C242" i="2" a="1"/>
  <c r="C242" i="2" s="1"/>
  <c r="C243" i="2" a="1"/>
  <c r="C243" i="2" s="1"/>
  <c r="C244" i="2" a="1"/>
  <c r="C244" i="2" s="1"/>
  <c r="C245" i="2" a="1"/>
  <c r="C245" i="2" s="1"/>
  <c r="C246" i="2" a="1"/>
  <c r="C246" i="2" s="1"/>
  <c r="C247" i="2" a="1"/>
  <c r="C247" i="2" s="1"/>
  <c r="C248" i="2" a="1"/>
  <c r="C248" i="2" s="1"/>
  <c r="C249" i="2" a="1"/>
  <c r="C249" i="2" s="1"/>
  <c r="C250" i="2" a="1"/>
  <c r="C250" i="2" s="1"/>
  <c r="C251" i="2" a="1"/>
  <c r="C251" i="2" s="1"/>
  <c r="C252" i="2" a="1"/>
  <c r="C252" i="2" s="1"/>
  <c r="C253" i="2" a="1"/>
  <c r="C253" i="2" s="1"/>
  <c r="C254" i="2" a="1"/>
  <c r="C254" i="2" s="1"/>
  <c r="C255" i="2" a="1"/>
  <c r="C255" i="2" s="1"/>
  <c r="C256" i="2" a="1"/>
  <c r="C256" i="2" s="1"/>
  <c r="C257" i="2" a="1"/>
  <c r="C257" i="2" s="1"/>
  <c r="C258" i="2" a="1"/>
  <c r="C258" i="2" s="1"/>
  <c r="C259" i="2" a="1"/>
  <c r="C259" i="2" s="1"/>
  <c r="C260" i="2" a="1"/>
  <c r="C260" i="2" s="1"/>
  <c r="C261" i="2" a="1"/>
  <c r="C261" i="2" s="1"/>
  <c r="C262" i="2" a="1"/>
  <c r="C262" i="2" s="1"/>
  <c r="C263" i="2" a="1"/>
  <c r="C263" i="2" s="1"/>
  <c r="C264" i="2" a="1"/>
  <c r="C264" i="2" s="1"/>
  <c r="C265" i="2" a="1"/>
  <c r="C265" i="2" s="1"/>
  <c r="C266" i="2" a="1"/>
  <c r="C266" i="2" s="1"/>
  <c r="C267" i="2" a="1"/>
  <c r="C267" i="2" s="1"/>
  <c r="C268" i="2" a="1"/>
  <c r="C268" i="2" s="1"/>
  <c r="C269" i="2" a="1"/>
  <c r="C269" i="2" s="1"/>
  <c r="C270" i="2" a="1"/>
  <c r="C270" i="2" s="1"/>
  <c r="C271" i="2" a="1"/>
  <c r="C271" i="2" s="1"/>
  <c r="C272" i="2" a="1"/>
  <c r="C272" i="2" s="1"/>
  <c r="C273" i="2" a="1"/>
  <c r="C273" i="2" s="1"/>
  <c r="C274" i="2" a="1"/>
  <c r="C274" i="2" s="1"/>
  <c r="C275" i="2" a="1"/>
  <c r="C275" i="2" s="1"/>
  <c r="C276" i="2" a="1"/>
  <c r="C276" i="2" s="1"/>
  <c r="C277" i="2" a="1"/>
  <c r="C277" i="2" s="1"/>
  <c r="C278" i="2" a="1"/>
  <c r="C278" i="2" s="1"/>
  <c r="C279" i="2" a="1"/>
  <c r="C279" i="2" s="1"/>
  <c r="C280" i="2" a="1"/>
  <c r="C280" i="2" s="1"/>
  <c r="C281" i="2" a="1"/>
  <c r="C281" i="2" s="1"/>
  <c r="C282" i="2" a="1"/>
  <c r="C282" i="2" s="1"/>
  <c r="C283" i="2" a="1"/>
  <c r="C283" i="2" s="1"/>
  <c r="C284" i="2" a="1"/>
  <c r="C284" i="2" s="1"/>
  <c r="C285" i="2" a="1"/>
  <c r="C285" i="2" s="1"/>
  <c r="C286" i="2" a="1"/>
  <c r="C286" i="2" s="1"/>
  <c r="C287" i="2" a="1"/>
  <c r="C287" i="2" s="1"/>
  <c r="C288" i="2" a="1"/>
  <c r="C288" i="2" s="1"/>
  <c r="C289" i="2" a="1"/>
  <c r="C289" i="2" s="1"/>
  <c r="C290" i="2" a="1"/>
  <c r="C290" i="2" s="1"/>
  <c r="C291" i="2" a="1"/>
  <c r="C291" i="2" s="1"/>
  <c r="C292" i="2" a="1"/>
  <c r="C292" i="2" s="1"/>
  <c r="C293" i="2" a="1"/>
  <c r="C293" i="2" s="1"/>
  <c r="C294" i="2" a="1"/>
  <c r="C294" i="2" s="1"/>
  <c r="C295" i="2" a="1"/>
  <c r="C295" i="2" s="1"/>
  <c r="C296" i="2" a="1"/>
  <c r="C296" i="2" s="1"/>
  <c r="C297" i="2" a="1"/>
  <c r="C297" i="2" s="1"/>
  <c r="C298" i="2" a="1"/>
  <c r="C298" i="2" s="1"/>
  <c r="C299" i="2" a="1"/>
  <c r="C299" i="2" s="1"/>
  <c r="C300" i="2" a="1"/>
  <c r="C300" i="2" s="1"/>
  <c r="C301" i="2" a="1"/>
  <c r="C301" i="2" s="1"/>
  <c r="C302" i="2" a="1"/>
  <c r="C302" i="2" s="1"/>
  <c r="C303" i="2" a="1"/>
  <c r="C303" i="2" s="1"/>
  <c r="C304" i="2" a="1"/>
  <c r="C304" i="2" s="1"/>
  <c r="C305" i="2" a="1"/>
  <c r="C305" i="2" s="1"/>
  <c r="C306" i="2" a="1"/>
  <c r="C306" i="2" s="1"/>
  <c r="C307" i="2" a="1"/>
  <c r="C307" i="2" s="1"/>
  <c r="C308" i="2" a="1"/>
  <c r="C308" i="2" s="1"/>
  <c r="C309" i="2" a="1"/>
  <c r="C309" i="2" s="1"/>
  <c r="C310" i="2" a="1"/>
  <c r="C310" i="2" s="1"/>
  <c r="C311" i="2" a="1"/>
  <c r="C311" i="2" s="1"/>
  <c r="C312" i="2" a="1"/>
  <c r="C312" i="2" s="1"/>
  <c r="C313" i="2" a="1"/>
  <c r="C313" i="2" s="1"/>
  <c r="C314" i="2" a="1"/>
  <c r="C314" i="2" s="1"/>
  <c r="C315" i="2" a="1"/>
  <c r="C315" i="2" s="1"/>
  <c r="C316" i="2" a="1"/>
  <c r="C316" i="2" s="1"/>
  <c r="C317" i="2" a="1"/>
  <c r="C317" i="2" s="1"/>
  <c r="C318" i="2" a="1"/>
  <c r="C318" i="2" s="1"/>
  <c r="C319" i="2" a="1"/>
  <c r="C319" i="2" s="1"/>
  <c r="C320" i="2" a="1"/>
  <c r="C320" i="2" s="1"/>
  <c r="C321" i="2" a="1"/>
  <c r="C321" i="2" s="1"/>
  <c r="C322" i="2" a="1"/>
  <c r="C322" i="2" s="1"/>
  <c r="C323" i="2" a="1"/>
  <c r="C323" i="2" s="1"/>
  <c r="C324" i="2" a="1"/>
  <c r="C324" i="2" s="1"/>
  <c r="C325" i="2" a="1"/>
  <c r="C325" i="2" s="1"/>
  <c r="C326" i="2" a="1"/>
  <c r="C326" i="2" s="1"/>
  <c r="C327" i="2" a="1"/>
  <c r="C327" i="2" s="1"/>
  <c r="C328" i="2" a="1"/>
  <c r="C328" i="2" s="1"/>
  <c r="C329" i="2" a="1"/>
  <c r="C329" i="2" s="1"/>
  <c r="C330" i="2" a="1"/>
  <c r="C330" i="2" s="1"/>
  <c r="C331" i="2" a="1"/>
  <c r="C331" i="2" s="1"/>
  <c r="C332" i="2" a="1"/>
  <c r="C332" i="2" s="1"/>
  <c r="C333" i="2" a="1"/>
  <c r="C333" i="2" s="1"/>
  <c r="C334" i="2" a="1"/>
  <c r="C334" i="2" s="1"/>
  <c r="C335" i="2" a="1"/>
  <c r="C335" i="2" s="1"/>
  <c r="C336" i="2" a="1"/>
  <c r="C336" i="2" s="1"/>
  <c r="C337" i="2" a="1"/>
  <c r="C337" i="2" s="1"/>
  <c r="C338" i="2" a="1"/>
  <c r="C338" i="2" s="1"/>
  <c r="C339" i="2" a="1"/>
  <c r="C339" i="2" s="1"/>
  <c r="C340" i="2" a="1"/>
  <c r="C340" i="2" s="1"/>
  <c r="C341" i="2" a="1"/>
  <c r="C341" i="2" s="1"/>
  <c r="C342" i="2" a="1"/>
  <c r="C342" i="2" s="1"/>
  <c r="C343" i="2" a="1"/>
  <c r="C343" i="2" s="1"/>
  <c r="C344" i="2" a="1"/>
  <c r="C344" i="2" s="1"/>
  <c r="C345" i="2" a="1"/>
  <c r="C345" i="2" s="1"/>
  <c r="C346" i="2" a="1"/>
  <c r="C346" i="2" s="1"/>
  <c r="C347" i="2" a="1"/>
  <c r="C347" i="2" s="1"/>
  <c r="C348" i="2" a="1"/>
  <c r="C348" i="2" s="1"/>
  <c r="C349" i="2" a="1"/>
  <c r="C349" i="2" s="1"/>
  <c r="C350" i="2" a="1"/>
  <c r="C350" i="2" s="1"/>
  <c r="C351" i="2" a="1"/>
  <c r="C351" i="2" s="1"/>
  <c r="C352" i="2" a="1"/>
  <c r="C352" i="2" s="1"/>
  <c r="C353" i="2" a="1"/>
  <c r="C353" i="2" s="1"/>
  <c r="C354" i="2" a="1"/>
  <c r="C354" i="2" s="1"/>
  <c r="C355" i="2" a="1"/>
  <c r="C355" i="2" s="1"/>
  <c r="C356" i="2" a="1"/>
  <c r="C356" i="2" s="1"/>
  <c r="C357" i="2" a="1"/>
  <c r="C357" i="2" s="1"/>
  <c r="C358" i="2" a="1"/>
  <c r="C358" i="2" s="1"/>
  <c r="C359" i="2" a="1"/>
  <c r="C359" i="2" s="1"/>
  <c r="C360" i="2" a="1"/>
  <c r="C360" i="2" s="1"/>
  <c r="C361" i="2" a="1"/>
  <c r="C361" i="2" s="1"/>
  <c r="C362" i="2" a="1"/>
  <c r="C362" i="2" s="1"/>
  <c r="C363" i="2" a="1"/>
  <c r="C363" i="2" s="1"/>
  <c r="C364" i="2" a="1"/>
  <c r="C364" i="2" s="1"/>
  <c r="C365" i="2" a="1"/>
  <c r="C365" i="2" s="1"/>
  <c r="C366" i="2" a="1"/>
  <c r="C366" i="2" s="1"/>
  <c r="C367" i="2" a="1"/>
  <c r="C367" i="2" s="1"/>
  <c r="C368" i="2" a="1"/>
  <c r="C368" i="2" s="1"/>
  <c r="C369" i="2" a="1"/>
  <c r="C369" i="2" s="1"/>
  <c r="C370" i="2" a="1"/>
  <c r="C370" i="2" s="1"/>
  <c r="C371" i="2" a="1"/>
  <c r="C371" i="2" s="1"/>
  <c r="C372" i="2" a="1"/>
  <c r="C372" i="2" s="1"/>
  <c r="C373" i="2" a="1"/>
  <c r="C373" i="2" s="1"/>
  <c r="C374" i="2" a="1"/>
  <c r="C374" i="2" s="1"/>
  <c r="C375" i="2" a="1"/>
  <c r="C375" i="2" s="1"/>
  <c r="C376" i="2" a="1"/>
  <c r="C376" i="2" s="1"/>
  <c r="C377" i="2" a="1"/>
  <c r="C377" i="2" s="1"/>
  <c r="C378" i="2" a="1"/>
  <c r="C378" i="2" s="1"/>
  <c r="C379" i="2" a="1"/>
  <c r="C379" i="2" s="1"/>
  <c r="C380" i="2" a="1"/>
  <c r="C380" i="2" s="1"/>
  <c r="C381" i="2" a="1"/>
  <c r="C381" i="2" s="1"/>
  <c r="C382" i="2" a="1"/>
  <c r="C382" i="2" s="1"/>
  <c r="C383" i="2" a="1"/>
  <c r="C383" i="2" s="1"/>
  <c r="C384" i="2" a="1"/>
  <c r="C384" i="2" s="1"/>
  <c r="C385" i="2" a="1"/>
  <c r="C385" i="2" s="1"/>
  <c r="C386" i="2" a="1"/>
  <c r="C386" i="2" s="1"/>
  <c r="C387" i="2" a="1"/>
  <c r="C387" i="2" s="1"/>
  <c r="C388" i="2" a="1"/>
  <c r="C388" i="2" s="1"/>
  <c r="C389" i="2" a="1"/>
  <c r="C389" i="2" s="1"/>
  <c r="C390" i="2" a="1"/>
  <c r="C390" i="2" s="1"/>
  <c r="C391" i="2" a="1"/>
  <c r="C391" i="2" s="1"/>
  <c r="C392" i="2" a="1"/>
  <c r="C392" i="2" s="1"/>
  <c r="C393" i="2" a="1"/>
  <c r="C393" i="2" s="1"/>
  <c r="C394" i="2" a="1"/>
  <c r="C394" i="2" s="1"/>
  <c r="C395" i="2" a="1"/>
  <c r="C395" i="2" s="1"/>
  <c r="C396" i="2" a="1"/>
  <c r="C396" i="2" s="1"/>
  <c r="C397" i="2" a="1"/>
  <c r="C397" i="2" s="1"/>
  <c r="C398" i="2" a="1"/>
  <c r="C398" i="2" s="1"/>
  <c r="C399" i="2" a="1"/>
  <c r="C399" i="2" s="1"/>
  <c r="C400" i="2" a="1"/>
  <c r="C400" i="2" s="1"/>
  <c r="C401" i="2" a="1"/>
  <c r="C401" i="2" s="1"/>
  <c r="C402" i="2" a="1"/>
  <c r="C402" i="2" s="1"/>
  <c r="C403" i="2" a="1"/>
  <c r="C403" i="2" s="1"/>
  <c r="C404" i="2" a="1"/>
  <c r="C404" i="2" s="1"/>
  <c r="C405" i="2" a="1"/>
  <c r="C405" i="2" s="1"/>
  <c r="C406" i="2" a="1"/>
  <c r="C406" i="2" s="1"/>
  <c r="C407" i="2" a="1"/>
  <c r="C407" i="2" s="1"/>
  <c r="C408" i="2" a="1"/>
  <c r="C408" i="2" s="1"/>
  <c r="C409" i="2" a="1"/>
  <c r="C409" i="2" s="1"/>
  <c r="C410" i="2" a="1"/>
  <c r="C410" i="2" s="1"/>
  <c r="C411" i="2" a="1"/>
  <c r="C411" i="2" s="1"/>
  <c r="C412" i="2" a="1"/>
  <c r="C412" i="2" s="1"/>
  <c r="C413" i="2" a="1"/>
  <c r="C413" i="2" s="1"/>
  <c r="C414" i="2" a="1"/>
  <c r="C414" i="2" s="1"/>
  <c r="C415" i="2" a="1"/>
  <c r="C415" i="2" s="1"/>
  <c r="C416" i="2" a="1"/>
  <c r="C416" i="2" s="1"/>
  <c r="C417" i="2" a="1"/>
  <c r="C417" i="2" s="1"/>
  <c r="C418" i="2" a="1"/>
  <c r="C418" i="2" s="1"/>
  <c r="C419" i="2" a="1"/>
  <c r="C419" i="2" s="1"/>
  <c r="C420" i="2" a="1"/>
  <c r="C420" i="2" s="1"/>
  <c r="C421" i="2" a="1"/>
  <c r="C421" i="2" s="1"/>
  <c r="C422" i="2" a="1"/>
  <c r="C422" i="2" s="1"/>
  <c r="C423" i="2" a="1"/>
  <c r="C423" i="2" s="1"/>
  <c r="C424" i="2" a="1"/>
  <c r="C424" i="2" s="1"/>
  <c r="C425" i="2" a="1"/>
  <c r="C425" i="2" s="1"/>
  <c r="C426" i="2" a="1"/>
  <c r="C426" i="2" s="1"/>
  <c r="C427" i="2" a="1"/>
  <c r="C427" i="2" s="1"/>
  <c r="C428" i="2" a="1"/>
  <c r="C428" i="2" s="1"/>
  <c r="C429" i="2" a="1"/>
  <c r="C429" i="2" s="1"/>
  <c r="C430" i="2" a="1"/>
  <c r="C430" i="2" s="1"/>
  <c r="C431" i="2" a="1"/>
  <c r="C431" i="2" s="1"/>
  <c r="C432" i="2" a="1"/>
  <c r="C432" i="2" s="1"/>
  <c r="C433" i="2" a="1"/>
  <c r="C433" i="2" s="1"/>
  <c r="C434" i="2" a="1"/>
  <c r="C434" i="2" s="1"/>
  <c r="C435" i="2" a="1"/>
  <c r="C435" i="2" s="1"/>
  <c r="C436" i="2" a="1"/>
  <c r="C436" i="2" s="1"/>
  <c r="C437" i="2" a="1"/>
  <c r="C437" i="2" s="1"/>
  <c r="C438" i="2" a="1"/>
  <c r="C438" i="2" s="1"/>
  <c r="C439" i="2" a="1"/>
  <c r="C439" i="2" s="1"/>
  <c r="C440" i="2" a="1"/>
  <c r="C440" i="2" s="1"/>
  <c r="C441" i="2" a="1"/>
  <c r="C441" i="2" s="1"/>
  <c r="C442" i="2" a="1"/>
  <c r="C442" i="2" s="1"/>
  <c r="C443" i="2" a="1"/>
  <c r="C443" i="2" s="1"/>
  <c r="C444" i="2" a="1"/>
  <c r="C444" i="2" s="1"/>
  <c r="C445" i="2" a="1"/>
  <c r="C445" i="2" s="1"/>
  <c r="C446" i="2" a="1"/>
  <c r="C446" i="2" s="1"/>
  <c r="C447" i="2" a="1"/>
  <c r="C447" i="2" s="1"/>
  <c r="C448" i="2" a="1"/>
  <c r="C448" i="2" s="1"/>
  <c r="C449" i="2" a="1"/>
  <c r="C449" i="2" s="1"/>
  <c r="C450" i="2" a="1"/>
  <c r="C450" i="2" s="1"/>
  <c r="C451" i="2" a="1"/>
  <c r="C451" i="2" s="1"/>
  <c r="C452" i="2" a="1"/>
  <c r="C452" i="2" s="1"/>
  <c r="C453" i="2" a="1"/>
  <c r="C453" i="2" s="1"/>
  <c r="C454" i="2" a="1"/>
  <c r="C454" i="2" s="1"/>
  <c r="C455" i="2" a="1"/>
  <c r="C455" i="2" s="1"/>
  <c r="C456" i="2" a="1"/>
  <c r="C456" i="2" s="1"/>
  <c r="C457" i="2" a="1"/>
  <c r="C457" i="2" s="1"/>
  <c r="C458" i="2" a="1"/>
  <c r="C458" i="2" s="1"/>
  <c r="C459" i="2" a="1"/>
  <c r="C459" i="2" s="1"/>
  <c r="C460" i="2" a="1"/>
  <c r="C460" i="2" s="1"/>
  <c r="C461" i="2" a="1"/>
  <c r="C461" i="2" s="1"/>
  <c r="C462" i="2" a="1"/>
  <c r="C462" i="2" s="1"/>
  <c r="C463" i="2" a="1"/>
  <c r="C463" i="2" s="1"/>
  <c r="C464" i="2" a="1"/>
  <c r="C464" i="2" s="1"/>
  <c r="C465" i="2" a="1"/>
  <c r="C465" i="2" s="1"/>
  <c r="C466" i="2" a="1"/>
  <c r="C466" i="2" s="1"/>
  <c r="C467" i="2" a="1"/>
  <c r="C467" i="2" s="1"/>
  <c r="C468" i="2" a="1"/>
  <c r="C468" i="2" s="1"/>
  <c r="C469" i="2" a="1"/>
  <c r="C469" i="2" s="1"/>
  <c r="C470" i="2" a="1"/>
  <c r="C470" i="2" s="1"/>
  <c r="C471" i="2" a="1"/>
  <c r="C471" i="2" s="1"/>
  <c r="C472" i="2" a="1"/>
  <c r="C472" i="2" s="1"/>
  <c r="C473" i="2" a="1"/>
  <c r="C473" i="2" s="1"/>
  <c r="C474" i="2" a="1"/>
  <c r="C474" i="2" s="1"/>
  <c r="C475" i="2" a="1"/>
  <c r="C475" i="2" s="1"/>
  <c r="C476" i="2" a="1"/>
  <c r="C476" i="2" s="1"/>
  <c r="C477" i="2" a="1"/>
  <c r="C477" i="2" s="1"/>
  <c r="C478" i="2" a="1"/>
  <c r="C478" i="2" s="1"/>
  <c r="C479" i="2" a="1"/>
  <c r="C479" i="2" s="1"/>
  <c r="C480" i="2" a="1"/>
  <c r="C480" i="2" s="1"/>
  <c r="C481" i="2" a="1"/>
  <c r="C481" i="2" s="1"/>
  <c r="C482" i="2" a="1"/>
  <c r="C482" i="2" s="1"/>
  <c r="C483" i="2" a="1"/>
  <c r="C483" i="2" s="1"/>
  <c r="C484" i="2" a="1"/>
  <c r="C484" i="2" s="1"/>
  <c r="C485" i="2" a="1"/>
  <c r="C485" i="2" s="1"/>
  <c r="C486" i="2" a="1"/>
  <c r="C486" i="2" s="1"/>
  <c r="C487" i="2" a="1"/>
  <c r="C487" i="2" s="1"/>
  <c r="C488" i="2" a="1"/>
  <c r="C488" i="2" s="1"/>
  <c r="C489" i="2" a="1"/>
  <c r="C489" i="2" s="1"/>
  <c r="C490" i="2" a="1"/>
  <c r="C490" i="2" s="1"/>
  <c r="C491" i="2" a="1"/>
  <c r="C491" i="2" s="1"/>
  <c r="C492" i="2" a="1"/>
  <c r="C492" i="2" s="1"/>
  <c r="C493" i="2" a="1"/>
  <c r="C493" i="2" s="1"/>
  <c r="C494" i="2" a="1"/>
  <c r="C494" i="2" s="1"/>
  <c r="C495" i="2" a="1"/>
  <c r="C495" i="2" s="1"/>
  <c r="C496" i="2" a="1"/>
  <c r="C496" i="2" s="1"/>
  <c r="C497" i="2" a="1"/>
  <c r="C497" i="2" s="1"/>
  <c r="C498" i="2" a="1"/>
  <c r="C498" i="2" s="1"/>
  <c r="C499" i="2" a="1"/>
  <c r="C499" i="2" s="1"/>
  <c r="C500" i="2" a="1"/>
  <c r="C500" i="2" s="1"/>
  <c r="C501" i="2" a="1"/>
  <c r="C501" i="2" s="1"/>
  <c r="C502" i="2" a="1"/>
  <c r="C502" i="2" s="1"/>
  <c r="C503" i="2" a="1"/>
  <c r="C503" i="2" s="1"/>
  <c r="C504" i="2" a="1"/>
  <c r="C504" i="2" s="1"/>
  <c r="C505" i="2" a="1"/>
  <c r="C505" i="2" s="1"/>
  <c r="C506" i="2" a="1"/>
  <c r="C506" i="2" s="1"/>
  <c r="C507" i="2" a="1"/>
  <c r="C507" i="2" s="1"/>
  <c r="C508" i="2" a="1"/>
  <c r="C508" i="2" s="1"/>
  <c r="C509" i="2" a="1"/>
  <c r="C509" i="2" s="1"/>
  <c r="C510" i="2" a="1"/>
  <c r="C510" i="2" s="1"/>
  <c r="C511" i="2" a="1"/>
  <c r="C511" i="2" s="1"/>
  <c r="C512" i="2" a="1"/>
  <c r="C512" i="2" s="1"/>
  <c r="C513" i="2" a="1"/>
  <c r="C513" i="2" s="1"/>
  <c r="C514" i="2" a="1"/>
  <c r="C514" i="2" s="1"/>
  <c r="C515" i="2" a="1"/>
  <c r="C515" i="2" s="1"/>
  <c r="C516" i="2" a="1"/>
  <c r="C516" i="2" s="1"/>
  <c r="C517" i="2" a="1"/>
  <c r="C517" i="2" s="1"/>
  <c r="C518" i="2" a="1"/>
  <c r="C518" i="2" s="1"/>
  <c r="C519" i="2" a="1"/>
  <c r="C519" i="2" s="1"/>
  <c r="C520" i="2" a="1"/>
  <c r="C520" i="2" s="1"/>
  <c r="C521" i="2" a="1"/>
  <c r="C521" i="2" s="1"/>
  <c r="C522" i="2" a="1"/>
  <c r="C522" i="2" s="1"/>
  <c r="C523" i="2" a="1"/>
  <c r="C523" i="2" s="1"/>
  <c r="C524" i="2" a="1"/>
  <c r="C524" i="2" s="1"/>
  <c r="C525" i="2" a="1"/>
  <c r="C525" i="2" s="1"/>
  <c r="C526" i="2" a="1"/>
  <c r="C526" i="2" s="1"/>
  <c r="C527" i="2" a="1"/>
  <c r="C527" i="2" s="1"/>
  <c r="C528" i="2" a="1"/>
  <c r="C528" i="2" s="1"/>
  <c r="C529" i="2" a="1"/>
  <c r="C529" i="2" s="1"/>
  <c r="C530" i="2" a="1"/>
  <c r="C530" i="2" s="1"/>
  <c r="C531" i="2" a="1"/>
  <c r="C531" i="2" s="1"/>
  <c r="E3" i="2" a="1"/>
  <c r="E3" i="2" s="1"/>
  <c r="E4" i="2" a="1"/>
  <c r="E4" i="2" s="1"/>
  <c r="E5" i="2" a="1"/>
  <c r="E5" i="2" s="1"/>
  <c r="E6" i="2" a="1"/>
  <c r="E6" i="2" s="1"/>
  <c r="E7" i="2" a="1"/>
  <c r="E7" i="2" s="1"/>
  <c r="E8" i="2" a="1"/>
  <c r="E8" i="2" s="1"/>
  <c r="E9" i="2" a="1"/>
  <c r="E9" i="2" s="1"/>
  <c r="E10" i="2" a="1"/>
  <c r="E10" i="2" s="1"/>
  <c r="E11" i="2" a="1"/>
  <c r="E11" i="2" s="1"/>
  <c r="E12" i="2" a="1"/>
  <c r="E12" i="2" s="1"/>
  <c r="E13" i="2" a="1"/>
  <c r="E13" i="2" s="1"/>
  <c r="E14" i="2" a="1"/>
  <c r="E14" i="2" s="1"/>
  <c r="E15" i="2" a="1"/>
  <c r="E15" i="2" s="1"/>
  <c r="E16" i="2" a="1"/>
  <c r="E16" i="2" s="1"/>
  <c r="E17" i="2" a="1"/>
  <c r="E17" i="2" s="1"/>
  <c r="E18" i="2" a="1"/>
  <c r="E18" i="2" s="1"/>
  <c r="E19" i="2" a="1"/>
  <c r="E19" i="2" s="1"/>
  <c r="E20" i="2" a="1"/>
  <c r="E20" i="2" s="1"/>
  <c r="E21" i="2" a="1"/>
  <c r="E21" i="2" s="1"/>
  <c r="E22" i="2" a="1"/>
  <c r="E22" i="2" s="1"/>
  <c r="E23" i="2" a="1"/>
  <c r="E23" i="2" s="1"/>
  <c r="E24" i="2" a="1"/>
  <c r="E24" i="2" s="1"/>
  <c r="E25" i="2" a="1"/>
  <c r="E25" i="2" s="1"/>
  <c r="E26" i="2" a="1"/>
  <c r="E26" i="2" s="1"/>
  <c r="E27" i="2" a="1"/>
  <c r="E27" i="2" s="1"/>
  <c r="E28" i="2" a="1"/>
  <c r="E28" i="2" s="1"/>
  <c r="E29" i="2" a="1"/>
  <c r="E29" i="2" s="1"/>
  <c r="E30" i="2" a="1"/>
  <c r="E30" i="2" s="1"/>
  <c r="E31" i="2" a="1"/>
  <c r="E31" i="2" s="1"/>
  <c r="E32" i="2" a="1"/>
  <c r="E32" i="2" s="1"/>
  <c r="E33" i="2" a="1"/>
  <c r="E33" i="2" s="1"/>
  <c r="E34" i="2" a="1"/>
  <c r="E34" i="2" s="1"/>
  <c r="E35" i="2" a="1"/>
  <c r="E35" i="2" s="1"/>
  <c r="E36" i="2" a="1"/>
  <c r="E36" i="2" s="1"/>
  <c r="E37" i="2" a="1"/>
  <c r="E37" i="2" s="1"/>
  <c r="E38" i="2" a="1"/>
  <c r="E38" i="2" s="1"/>
  <c r="E39" i="2" a="1"/>
  <c r="E39" i="2" s="1"/>
  <c r="E40" i="2" a="1"/>
  <c r="E40" i="2" s="1"/>
  <c r="E41" i="2" a="1"/>
  <c r="E41" i="2" s="1"/>
  <c r="E42" i="2" a="1"/>
  <c r="E42" i="2" s="1"/>
  <c r="E43" i="2" a="1"/>
  <c r="E43" i="2" s="1"/>
  <c r="E44" i="2" a="1"/>
  <c r="E44" i="2" s="1"/>
  <c r="E45" i="2" a="1"/>
  <c r="E45" i="2" s="1"/>
  <c r="E46" i="2" a="1"/>
  <c r="E46" i="2" s="1"/>
  <c r="E47" i="2" a="1"/>
  <c r="E47" i="2" s="1"/>
  <c r="E48" i="2" a="1"/>
  <c r="E48" i="2" s="1"/>
  <c r="E49" i="2" a="1"/>
  <c r="E49" i="2" s="1"/>
  <c r="E50" i="2" a="1"/>
  <c r="E50" i="2" s="1"/>
  <c r="E51" i="2" a="1"/>
  <c r="E51" i="2" s="1"/>
  <c r="E52" i="2" a="1"/>
  <c r="E52" i="2" s="1"/>
  <c r="E53" i="2" a="1"/>
  <c r="E53" i="2" s="1"/>
  <c r="E54" i="2" a="1"/>
  <c r="E54" i="2" s="1"/>
  <c r="E55" i="2" a="1"/>
  <c r="E55" i="2" s="1"/>
  <c r="E56" i="2" a="1"/>
  <c r="E56" i="2" s="1"/>
  <c r="E57" i="2" a="1"/>
  <c r="E57" i="2" s="1"/>
  <c r="E58" i="2" a="1"/>
  <c r="E58" i="2" s="1"/>
  <c r="E59" i="2" a="1"/>
  <c r="E59" i="2" s="1"/>
  <c r="E60" i="2" a="1"/>
  <c r="E60" i="2" s="1"/>
  <c r="E61" i="2" a="1"/>
  <c r="E61" i="2" s="1"/>
  <c r="E62" i="2" a="1"/>
  <c r="E62" i="2" s="1"/>
  <c r="E63" i="2" a="1"/>
  <c r="E63" i="2" s="1"/>
  <c r="E64" i="2" a="1"/>
  <c r="E64" i="2" s="1"/>
  <c r="E65" i="2" a="1"/>
  <c r="E65" i="2" s="1"/>
  <c r="E66" i="2" a="1"/>
  <c r="E66" i="2" s="1"/>
  <c r="E67" i="2" a="1"/>
  <c r="E67" i="2" s="1"/>
  <c r="E68" i="2" a="1"/>
  <c r="E68" i="2" s="1"/>
  <c r="E69" i="2" a="1"/>
  <c r="E69" i="2" s="1"/>
  <c r="E70" i="2" a="1"/>
  <c r="E70" i="2" s="1"/>
  <c r="E71" i="2" a="1"/>
  <c r="E71" i="2" s="1"/>
  <c r="E72" i="2" a="1"/>
  <c r="E72" i="2" s="1"/>
  <c r="E73" i="2" a="1"/>
  <c r="E73" i="2" s="1"/>
  <c r="E74" i="2" a="1"/>
  <c r="E74" i="2" s="1"/>
  <c r="E75" i="2" a="1"/>
  <c r="E75" i="2" s="1"/>
  <c r="E76" i="2" a="1"/>
  <c r="E76" i="2" s="1"/>
  <c r="E77" i="2" a="1"/>
  <c r="E77" i="2" s="1"/>
  <c r="E78" i="2" a="1"/>
  <c r="E78" i="2" s="1"/>
  <c r="E79" i="2" a="1"/>
  <c r="E79" i="2" s="1"/>
  <c r="E80" i="2" a="1"/>
  <c r="E80" i="2" s="1"/>
  <c r="E81" i="2" a="1"/>
  <c r="E81" i="2" s="1"/>
  <c r="E82" i="2" a="1"/>
  <c r="E82" i="2" s="1"/>
  <c r="E83" i="2" a="1"/>
  <c r="E83" i="2" s="1"/>
  <c r="E84" i="2" a="1"/>
  <c r="E84" i="2" s="1"/>
  <c r="E85" i="2" a="1"/>
  <c r="E85" i="2" s="1"/>
  <c r="E86" i="2" a="1"/>
  <c r="E86" i="2" s="1"/>
  <c r="E87" i="2" a="1"/>
  <c r="E87" i="2" s="1"/>
  <c r="E88" i="2" a="1"/>
  <c r="E88" i="2" s="1"/>
  <c r="E89" i="2" a="1"/>
  <c r="E89" i="2" s="1"/>
  <c r="E90" i="2" a="1"/>
  <c r="E90" i="2" s="1"/>
  <c r="E91" i="2" a="1"/>
  <c r="E91" i="2" s="1"/>
  <c r="E92" i="2" a="1"/>
  <c r="E92" i="2" s="1"/>
  <c r="E93" i="2" a="1"/>
  <c r="E93" i="2" s="1"/>
  <c r="E94" i="2" a="1"/>
  <c r="E94" i="2" s="1"/>
  <c r="E95" i="2" a="1"/>
  <c r="E95" i="2" s="1"/>
  <c r="E96" i="2" a="1"/>
  <c r="E96" i="2" s="1"/>
  <c r="E97" i="2" a="1"/>
  <c r="E97" i="2" s="1"/>
  <c r="E98" i="2" a="1"/>
  <c r="E98" i="2" s="1"/>
  <c r="E99" i="2" a="1"/>
  <c r="E99" i="2" s="1"/>
  <c r="E100" i="2" a="1"/>
  <c r="E100" i="2" s="1"/>
  <c r="E101" i="2" a="1"/>
  <c r="E101" i="2" s="1"/>
  <c r="E102" i="2" a="1"/>
  <c r="E102" i="2" s="1"/>
  <c r="E103" i="2" a="1"/>
  <c r="E103" i="2" s="1"/>
  <c r="E104" i="2" a="1"/>
  <c r="E104" i="2" s="1"/>
  <c r="E105" i="2" a="1"/>
  <c r="E105" i="2" s="1"/>
  <c r="E106" i="2" a="1"/>
  <c r="E106" i="2" s="1"/>
  <c r="E107" i="2" a="1"/>
  <c r="E107" i="2" s="1"/>
  <c r="E108" i="2" a="1"/>
  <c r="E108" i="2" s="1"/>
  <c r="E109" i="2" a="1"/>
  <c r="E109" i="2" s="1"/>
  <c r="E110" i="2" a="1"/>
  <c r="E110" i="2" s="1"/>
  <c r="E111" i="2" a="1"/>
  <c r="E111" i="2" s="1"/>
  <c r="E112" i="2" a="1"/>
  <c r="E112" i="2" s="1"/>
  <c r="E113" i="2" a="1"/>
  <c r="E113" i="2" s="1"/>
  <c r="E114" i="2" a="1"/>
  <c r="E114" i="2" s="1"/>
  <c r="E115" i="2" a="1"/>
  <c r="E115" i="2" s="1"/>
  <c r="E116" i="2" a="1"/>
  <c r="E116" i="2" s="1"/>
  <c r="E117" i="2" a="1"/>
  <c r="E117" i="2" s="1"/>
  <c r="E118" i="2" a="1"/>
  <c r="E118" i="2" s="1"/>
  <c r="E119" i="2" a="1"/>
  <c r="E119" i="2" s="1"/>
  <c r="E120" i="2" a="1"/>
  <c r="E120" i="2" s="1"/>
  <c r="E121" i="2" a="1"/>
  <c r="E121" i="2" s="1"/>
  <c r="E122" i="2" a="1"/>
  <c r="E122" i="2" s="1"/>
  <c r="E123" i="2" a="1"/>
  <c r="E123" i="2" s="1"/>
  <c r="E124" i="2" a="1"/>
  <c r="E124" i="2" s="1"/>
  <c r="E125" i="2" a="1"/>
  <c r="E125" i="2" s="1"/>
  <c r="E126" i="2" a="1"/>
  <c r="E126" i="2" s="1"/>
  <c r="E127" i="2" a="1"/>
  <c r="E127" i="2" s="1"/>
  <c r="E128" i="2" a="1"/>
  <c r="E128" i="2" s="1"/>
  <c r="E129" i="2" a="1"/>
  <c r="E129" i="2" s="1"/>
  <c r="E130" i="2" a="1"/>
  <c r="E130" i="2" s="1"/>
  <c r="E131" i="2" a="1"/>
  <c r="E131" i="2" s="1"/>
  <c r="E132" i="2" a="1"/>
  <c r="E132" i="2" s="1"/>
  <c r="E133" i="2" a="1"/>
  <c r="E133" i="2" s="1"/>
  <c r="E134" i="2" a="1"/>
  <c r="E134" i="2" s="1"/>
  <c r="E135" i="2" a="1"/>
  <c r="E135" i="2" s="1"/>
  <c r="E136" i="2" a="1"/>
  <c r="E136" i="2" s="1"/>
  <c r="E137" i="2" a="1"/>
  <c r="E137" i="2" s="1"/>
  <c r="E138" i="2" a="1"/>
  <c r="E138" i="2" s="1"/>
  <c r="E139" i="2" a="1"/>
  <c r="E139" i="2" s="1"/>
  <c r="E140" i="2" a="1"/>
  <c r="E140" i="2" s="1"/>
  <c r="E141" i="2" a="1"/>
  <c r="E141" i="2" s="1"/>
  <c r="E142" i="2" a="1"/>
  <c r="E142" i="2" s="1"/>
  <c r="E143" i="2" a="1"/>
  <c r="E143" i="2" s="1"/>
  <c r="E144" i="2" a="1"/>
  <c r="E144" i="2" s="1"/>
  <c r="E145" i="2" a="1"/>
  <c r="E145" i="2" s="1"/>
  <c r="E146" i="2" a="1"/>
  <c r="E146" i="2" s="1"/>
  <c r="E147" i="2" a="1"/>
  <c r="E147" i="2" s="1"/>
  <c r="E148" i="2" a="1"/>
  <c r="E148" i="2" s="1"/>
  <c r="E149" i="2" a="1"/>
  <c r="E149" i="2" s="1"/>
  <c r="E150" i="2" a="1"/>
  <c r="E150" i="2" s="1"/>
  <c r="E151" i="2" a="1"/>
  <c r="E151" i="2" s="1"/>
  <c r="E152" i="2" a="1"/>
  <c r="E152" i="2" s="1"/>
  <c r="E153" i="2" a="1"/>
  <c r="E153" i="2" s="1"/>
  <c r="E154" i="2" a="1"/>
  <c r="E154" i="2" s="1"/>
  <c r="E155" i="2" a="1"/>
  <c r="E155" i="2" s="1"/>
  <c r="E156" i="2" a="1"/>
  <c r="E156" i="2" s="1"/>
  <c r="E157" i="2" a="1"/>
  <c r="E157" i="2" s="1"/>
  <c r="E158" i="2" a="1"/>
  <c r="E158" i="2" s="1"/>
  <c r="E159" i="2" a="1"/>
  <c r="E159" i="2" s="1"/>
  <c r="E160" i="2" a="1"/>
  <c r="E160" i="2" s="1"/>
  <c r="E161" i="2" a="1"/>
  <c r="E161" i="2" s="1"/>
  <c r="E162" i="2" a="1"/>
  <c r="E162" i="2" s="1"/>
  <c r="E163" i="2" a="1"/>
  <c r="E163" i="2" s="1"/>
  <c r="E164" i="2" a="1"/>
  <c r="E164" i="2" s="1"/>
  <c r="E165" i="2" a="1"/>
  <c r="E165" i="2" s="1"/>
  <c r="E166" i="2" a="1"/>
  <c r="E166" i="2" s="1"/>
  <c r="E167" i="2" a="1"/>
  <c r="E167" i="2" s="1"/>
  <c r="E168" i="2" a="1"/>
  <c r="E168" i="2" s="1"/>
  <c r="E169" i="2" a="1"/>
  <c r="E169" i="2" s="1"/>
  <c r="E170" i="2" a="1"/>
  <c r="E170" i="2" s="1"/>
  <c r="E171" i="2" a="1"/>
  <c r="E171" i="2" s="1"/>
  <c r="E172" i="2" a="1"/>
  <c r="E172" i="2" s="1"/>
  <c r="E173" i="2" a="1"/>
  <c r="E173" i="2" s="1"/>
  <c r="E174" i="2" a="1"/>
  <c r="E174" i="2" s="1"/>
  <c r="E175" i="2" a="1"/>
  <c r="E175" i="2" s="1"/>
  <c r="E176" i="2" a="1"/>
  <c r="E176" i="2" s="1"/>
  <c r="E177" i="2" a="1"/>
  <c r="E177" i="2" s="1"/>
  <c r="E178" i="2" a="1"/>
  <c r="E178" i="2" s="1"/>
  <c r="E179" i="2" a="1"/>
  <c r="E179" i="2" s="1"/>
  <c r="E180" i="2" a="1"/>
  <c r="E180" i="2" s="1"/>
  <c r="E181" i="2" a="1"/>
  <c r="E181" i="2" s="1"/>
  <c r="E182" i="2" a="1"/>
  <c r="E182" i="2" s="1"/>
  <c r="E183" i="2" a="1"/>
  <c r="E183" i="2" s="1"/>
  <c r="E184" i="2" a="1"/>
  <c r="E184" i="2" s="1"/>
  <c r="E185" i="2" a="1"/>
  <c r="E185" i="2" s="1"/>
  <c r="E186" i="2" a="1"/>
  <c r="E186" i="2" s="1"/>
  <c r="E187" i="2" a="1"/>
  <c r="E187" i="2" s="1"/>
  <c r="E188" i="2" a="1"/>
  <c r="E188" i="2" s="1"/>
  <c r="E189" i="2" a="1"/>
  <c r="E189" i="2" s="1"/>
  <c r="E190" i="2" a="1"/>
  <c r="E190" i="2" s="1"/>
  <c r="E191" i="2" a="1"/>
  <c r="E191" i="2" s="1"/>
  <c r="E192" i="2" a="1"/>
  <c r="E192" i="2" s="1"/>
  <c r="E193" i="2" a="1"/>
  <c r="E193" i="2" s="1"/>
  <c r="E194" i="2" a="1"/>
  <c r="E194" i="2" s="1"/>
  <c r="E195" i="2" a="1"/>
  <c r="E195" i="2" s="1"/>
  <c r="E196" i="2" a="1"/>
  <c r="E196" i="2" s="1"/>
  <c r="E197" i="2" a="1"/>
  <c r="E197" i="2" s="1"/>
  <c r="E198" i="2" a="1"/>
  <c r="E198" i="2" s="1"/>
  <c r="E199" i="2" a="1"/>
  <c r="E199" i="2" s="1"/>
  <c r="E200" i="2" a="1"/>
  <c r="E200" i="2" s="1"/>
  <c r="E201" i="2" a="1"/>
  <c r="E201" i="2" s="1"/>
  <c r="E202" i="2" a="1"/>
  <c r="E202" i="2" s="1"/>
  <c r="E203" i="2" a="1"/>
  <c r="E203" i="2" s="1"/>
  <c r="E204" i="2" a="1"/>
  <c r="E204" i="2" s="1"/>
  <c r="E205" i="2" a="1"/>
  <c r="E205" i="2" s="1"/>
  <c r="E206" i="2" a="1"/>
  <c r="E206" i="2" s="1"/>
  <c r="E207" i="2" a="1"/>
  <c r="E207" i="2" s="1"/>
  <c r="E208" i="2" a="1"/>
  <c r="E208" i="2" s="1"/>
  <c r="E209" i="2" a="1"/>
  <c r="E209" i="2" s="1"/>
  <c r="E210" i="2" a="1"/>
  <c r="E210" i="2" s="1"/>
  <c r="E211" i="2" a="1"/>
  <c r="E211" i="2" s="1"/>
  <c r="E212" i="2" a="1"/>
  <c r="E212" i="2" s="1"/>
  <c r="E213" i="2" a="1"/>
  <c r="E213" i="2" s="1"/>
  <c r="E214" i="2" a="1"/>
  <c r="E214" i="2" s="1"/>
  <c r="E215" i="2" a="1"/>
  <c r="E215" i="2" s="1"/>
  <c r="E216" i="2" a="1"/>
  <c r="E216" i="2" s="1"/>
  <c r="E217" i="2" a="1"/>
  <c r="E217" i="2" s="1"/>
  <c r="E218" i="2" a="1"/>
  <c r="E218" i="2" s="1"/>
  <c r="E219" i="2" a="1"/>
  <c r="E219" i="2" s="1"/>
  <c r="E220" i="2" a="1"/>
  <c r="E220" i="2" s="1"/>
  <c r="E221" i="2" a="1"/>
  <c r="E221" i="2" s="1"/>
  <c r="E222" i="2" a="1"/>
  <c r="E222" i="2" s="1"/>
  <c r="E223" i="2" a="1"/>
  <c r="E223" i="2" s="1"/>
  <c r="E224" i="2" a="1"/>
  <c r="E224" i="2" s="1"/>
  <c r="E225" i="2" a="1"/>
  <c r="E225" i="2" s="1"/>
  <c r="E226" i="2" a="1"/>
  <c r="E226" i="2" s="1"/>
  <c r="E227" i="2" a="1"/>
  <c r="E227" i="2" s="1"/>
  <c r="E228" i="2" a="1"/>
  <c r="E228" i="2" s="1"/>
  <c r="E229" i="2" a="1"/>
  <c r="E229" i="2" s="1"/>
  <c r="E230" i="2" a="1"/>
  <c r="E230" i="2" s="1"/>
  <c r="E231" i="2" a="1"/>
  <c r="E231" i="2" s="1"/>
  <c r="E232" i="2" a="1"/>
  <c r="E232" i="2" s="1"/>
  <c r="E233" i="2" a="1"/>
  <c r="E233" i="2" s="1"/>
  <c r="E234" i="2" a="1"/>
  <c r="E234" i="2" s="1"/>
  <c r="E235" i="2" a="1"/>
  <c r="E235" i="2" s="1"/>
  <c r="E236" i="2" a="1"/>
  <c r="E236" i="2" s="1"/>
  <c r="E237" i="2" a="1"/>
  <c r="E237" i="2" s="1"/>
  <c r="E238" i="2" a="1"/>
  <c r="E238" i="2" s="1"/>
  <c r="E239" i="2" a="1"/>
  <c r="E239" i="2" s="1"/>
  <c r="E240" i="2" a="1"/>
  <c r="E240" i="2" s="1"/>
  <c r="E241" i="2" a="1"/>
  <c r="E241" i="2" s="1"/>
  <c r="E242" i="2" a="1"/>
  <c r="E242" i="2" s="1"/>
  <c r="E243" i="2" a="1"/>
  <c r="E243" i="2" s="1"/>
  <c r="E244" i="2" a="1"/>
  <c r="E244" i="2" s="1"/>
  <c r="E245" i="2" a="1"/>
  <c r="E245" i="2" s="1"/>
  <c r="E246" i="2" a="1"/>
  <c r="E246" i="2" s="1"/>
  <c r="E247" i="2" a="1"/>
  <c r="E247" i="2" s="1"/>
  <c r="E248" i="2" a="1"/>
  <c r="E248" i="2" s="1"/>
  <c r="E249" i="2" a="1"/>
  <c r="E249" i="2" s="1"/>
  <c r="E250" i="2" a="1"/>
  <c r="E250" i="2" s="1"/>
  <c r="E251" i="2" a="1"/>
  <c r="E251" i="2" s="1"/>
  <c r="E252" i="2" a="1"/>
  <c r="E252" i="2" s="1"/>
  <c r="E253" i="2" a="1"/>
  <c r="E253" i="2" s="1"/>
  <c r="E254" i="2" a="1"/>
  <c r="E254" i="2" s="1"/>
  <c r="E255" i="2" a="1"/>
  <c r="E255" i="2" s="1"/>
  <c r="E256" i="2" a="1"/>
  <c r="E256" i="2" s="1"/>
  <c r="E257" i="2" a="1"/>
  <c r="E257" i="2" s="1"/>
  <c r="E258" i="2" a="1"/>
  <c r="E258" i="2" s="1"/>
  <c r="E259" i="2" a="1"/>
  <c r="E259" i="2" s="1"/>
  <c r="E260" i="2" a="1"/>
  <c r="E260" i="2" s="1"/>
  <c r="E261" i="2" a="1"/>
  <c r="E261" i="2" s="1"/>
  <c r="E262" i="2" a="1"/>
  <c r="E262" i="2" s="1"/>
  <c r="E263" i="2" a="1"/>
  <c r="E263" i="2" s="1"/>
  <c r="E264" i="2" a="1"/>
  <c r="E264" i="2" s="1"/>
  <c r="E265" i="2" a="1"/>
  <c r="E265" i="2" s="1"/>
  <c r="E266" i="2" a="1"/>
  <c r="E266" i="2" s="1"/>
  <c r="E267" i="2" a="1"/>
  <c r="E267" i="2" s="1"/>
  <c r="E268" i="2" a="1"/>
  <c r="E268" i="2" s="1"/>
  <c r="E269" i="2" a="1"/>
  <c r="E269" i="2" s="1"/>
  <c r="E270" i="2" a="1"/>
  <c r="E270" i="2" s="1"/>
  <c r="E271" i="2" a="1"/>
  <c r="E271" i="2" s="1"/>
  <c r="E272" i="2" a="1"/>
  <c r="E272" i="2" s="1"/>
  <c r="E273" i="2" a="1"/>
  <c r="E273" i="2" s="1"/>
  <c r="E274" i="2" a="1"/>
  <c r="E274" i="2" s="1"/>
  <c r="E275" i="2" a="1"/>
  <c r="E275" i="2" s="1"/>
  <c r="E276" i="2" a="1"/>
  <c r="E276" i="2" s="1"/>
  <c r="E277" i="2" a="1"/>
  <c r="E277" i="2" s="1"/>
  <c r="E278" i="2" a="1"/>
  <c r="E278" i="2" s="1"/>
  <c r="E279" i="2" a="1"/>
  <c r="E279" i="2" s="1"/>
  <c r="E280" i="2" a="1"/>
  <c r="E280" i="2" s="1"/>
  <c r="E281" i="2" a="1"/>
  <c r="E281" i="2" s="1"/>
  <c r="E282" i="2" a="1"/>
  <c r="E282" i="2" s="1"/>
  <c r="E283" i="2" a="1"/>
  <c r="E283" i="2" s="1"/>
  <c r="E284" i="2" a="1"/>
  <c r="E284" i="2" s="1"/>
  <c r="E285" i="2" a="1"/>
  <c r="E285" i="2" s="1"/>
  <c r="E286" i="2" a="1"/>
  <c r="E286" i="2" s="1"/>
  <c r="E287" i="2" a="1"/>
  <c r="E287" i="2" s="1"/>
  <c r="E288" i="2" a="1"/>
  <c r="E288" i="2" s="1"/>
  <c r="E289" i="2" a="1"/>
  <c r="E289" i="2" s="1"/>
  <c r="E290" i="2" a="1"/>
  <c r="E290" i="2" s="1"/>
  <c r="E291" i="2" a="1"/>
  <c r="E291" i="2" s="1"/>
  <c r="E292" i="2" a="1"/>
  <c r="E292" i="2" s="1"/>
  <c r="E293" i="2" a="1"/>
  <c r="E293" i="2" s="1"/>
  <c r="E294" i="2" a="1"/>
  <c r="E294" i="2" s="1"/>
  <c r="E295" i="2" a="1"/>
  <c r="E295" i="2" s="1"/>
  <c r="E296" i="2" a="1"/>
  <c r="E296" i="2" s="1"/>
  <c r="E297" i="2" a="1"/>
  <c r="E297" i="2" s="1"/>
  <c r="E298" i="2" a="1"/>
  <c r="E298" i="2" s="1"/>
  <c r="E299" i="2" a="1"/>
  <c r="E299" i="2" s="1"/>
  <c r="E300" i="2" a="1"/>
  <c r="E300" i="2" s="1"/>
  <c r="E301" i="2" a="1"/>
  <c r="E301" i="2" s="1"/>
  <c r="E302" i="2" a="1"/>
  <c r="E302" i="2" s="1"/>
  <c r="E303" i="2" a="1"/>
  <c r="E303" i="2" s="1"/>
  <c r="E304" i="2" a="1"/>
  <c r="E304" i="2" s="1"/>
  <c r="E305" i="2" a="1"/>
  <c r="E305" i="2" s="1"/>
  <c r="E306" i="2" a="1"/>
  <c r="E306" i="2" s="1"/>
  <c r="E307" i="2" a="1"/>
  <c r="E307" i="2" s="1"/>
  <c r="E308" i="2" a="1"/>
  <c r="E308" i="2" s="1"/>
  <c r="E309" i="2" a="1"/>
  <c r="E309" i="2" s="1"/>
  <c r="E310" i="2" a="1"/>
  <c r="E310" i="2" s="1"/>
  <c r="E311" i="2" a="1"/>
  <c r="E311" i="2" s="1"/>
  <c r="E312" i="2" a="1"/>
  <c r="E312" i="2" s="1"/>
  <c r="E313" i="2" a="1"/>
  <c r="E313" i="2" s="1"/>
  <c r="E314" i="2" a="1"/>
  <c r="E314" i="2" s="1"/>
  <c r="E315" i="2" a="1"/>
  <c r="E315" i="2" s="1"/>
  <c r="E316" i="2" a="1"/>
  <c r="E316" i="2" s="1"/>
  <c r="E317" i="2" a="1"/>
  <c r="E317" i="2" s="1"/>
  <c r="E318" i="2" a="1"/>
  <c r="E318" i="2" s="1"/>
  <c r="E319" i="2" a="1"/>
  <c r="E319" i="2" s="1"/>
  <c r="E320" i="2" a="1"/>
  <c r="E320" i="2" s="1"/>
  <c r="E321" i="2" a="1"/>
  <c r="E321" i="2" s="1"/>
  <c r="E322" i="2" a="1"/>
  <c r="E322" i="2" s="1"/>
  <c r="E323" i="2" a="1"/>
  <c r="E323" i="2" s="1"/>
  <c r="E324" i="2" a="1"/>
  <c r="E324" i="2" s="1"/>
  <c r="E325" i="2" a="1"/>
  <c r="E325" i="2" s="1"/>
  <c r="E326" i="2" a="1"/>
  <c r="E326" i="2" s="1"/>
  <c r="E327" i="2" a="1"/>
  <c r="E327" i="2" s="1"/>
  <c r="E328" i="2" a="1"/>
  <c r="E328" i="2" s="1"/>
  <c r="E329" i="2" a="1"/>
  <c r="E329" i="2" s="1"/>
  <c r="E330" i="2" a="1"/>
  <c r="E330" i="2" s="1"/>
  <c r="E331" i="2" a="1"/>
  <c r="E331" i="2" s="1"/>
  <c r="E332" i="2" a="1"/>
  <c r="E332" i="2" s="1"/>
  <c r="E333" i="2" a="1"/>
  <c r="E333" i="2" s="1"/>
  <c r="E334" i="2" a="1"/>
  <c r="E334" i="2" s="1"/>
  <c r="E335" i="2" a="1"/>
  <c r="E335" i="2" s="1"/>
  <c r="E336" i="2" a="1"/>
  <c r="E336" i="2" s="1"/>
  <c r="E337" i="2" a="1"/>
  <c r="E337" i="2" s="1"/>
  <c r="E338" i="2" a="1"/>
  <c r="E338" i="2" s="1"/>
  <c r="E339" i="2" a="1"/>
  <c r="E339" i="2" s="1"/>
  <c r="E340" i="2" a="1"/>
  <c r="E340" i="2" s="1"/>
  <c r="E341" i="2" a="1"/>
  <c r="E341" i="2" s="1"/>
  <c r="E342" i="2" a="1"/>
  <c r="E342" i="2" s="1"/>
  <c r="E343" i="2" a="1"/>
  <c r="E343" i="2" s="1"/>
  <c r="E344" i="2" a="1"/>
  <c r="E344" i="2" s="1"/>
  <c r="E345" i="2" a="1"/>
  <c r="E345" i="2" s="1"/>
  <c r="E346" i="2" a="1"/>
  <c r="E346" i="2" s="1"/>
  <c r="E347" i="2" a="1"/>
  <c r="E347" i="2" s="1"/>
  <c r="E348" i="2" a="1"/>
  <c r="E348" i="2" s="1"/>
  <c r="E349" i="2" a="1"/>
  <c r="E349" i="2" s="1"/>
  <c r="E350" i="2" a="1"/>
  <c r="E350" i="2" s="1"/>
  <c r="E351" i="2" a="1"/>
  <c r="E351" i="2" s="1"/>
  <c r="E352" i="2" a="1"/>
  <c r="E352" i="2" s="1"/>
  <c r="E353" i="2" a="1"/>
  <c r="E353" i="2" s="1"/>
  <c r="E354" i="2" a="1"/>
  <c r="E354" i="2" s="1"/>
  <c r="E355" i="2" a="1"/>
  <c r="E355" i="2" s="1"/>
  <c r="E356" i="2" a="1"/>
  <c r="E356" i="2" s="1"/>
  <c r="E357" i="2" a="1"/>
  <c r="E357" i="2" s="1"/>
  <c r="E358" i="2" a="1"/>
  <c r="E358" i="2" s="1"/>
  <c r="E359" i="2" a="1"/>
  <c r="E359" i="2" s="1"/>
  <c r="E360" i="2" a="1"/>
  <c r="E360" i="2" s="1"/>
  <c r="E361" i="2" a="1"/>
  <c r="E361" i="2" s="1"/>
  <c r="E362" i="2" a="1"/>
  <c r="E362" i="2" s="1"/>
  <c r="E363" i="2" a="1"/>
  <c r="E363" i="2" s="1"/>
  <c r="E364" i="2" a="1"/>
  <c r="E364" i="2" s="1"/>
  <c r="E365" i="2" a="1"/>
  <c r="E365" i="2" s="1"/>
  <c r="E366" i="2" a="1"/>
  <c r="E366" i="2" s="1"/>
  <c r="E367" i="2" a="1"/>
  <c r="E367" i="2" s="1"/>
  <c r="E368" i="2" a="1"/>
  <c r="E368" i="2" s="1"/>
  <c r="E369" i="2" a="1"/>
  <c r="E369" i="2" s="1"/>
  <c r="E370" i="2" a="1"/>
  <c r="E370" i="2" s="1"/>
  <c r="E371" i="2" a="1"/>
  <c r="E371" i="2" s="1"/>
  <c r="E372" i="2" a="1"/>
  <c r="E372" i="2" s="1"/>
  <c r="E373" i="2" a="1"/>
  <c r="E373" i="2" s="1"/>
  <c r="E374" i="2" a="1"/>
  <c r="E374" i="2" s="1"/>
  <c r="E375" i="2" a="1"/>
  <c r="E375" i="2" s="1"/>
  <c r="E376" i="2" a="1"/>
  <c r="E376" i="2" s="1"/>
  <c r="E377" i="2" a="1"/>
  <c r="E377" i="2" s="1"/>
  <c r="E378" i="2" a="1"/>
  <c r="E378" i="2" s="1"/>
  <c r="E379" i="2" a="1"/>
  <c r="E379" i="2" s="1"/>
  <c r="E380" i="2" a="1"/>
  <c r="E380" i="2" s="1"/>
  <c r="E381" i="2" a="1"/>
  <c r="E381" i="2" s="1"/>
  <c r="E382" i="2" a="1"/>
  <c r="E382" i="2" s="1"/>
  <c r="E383" i="2" a="1"/>
  <c r="E383" i="2" s="1"/>
  <c r="E384" i="2" a="1"/>
  <c r="E384" i="2" s="1"/>
  <c r="E385" i="2" a="1"/>
  <c r="E385" i="2" s="1"/>
  <c r="E386" i="2" a="1"/>
  <c r="E386" i="2" s="1"/>
  <c r="E387" i="2" a="1"/>
  <c r="E387" i="2" s="1"/>
  <c r="E388" i="2" a="1"/>
  <c r="E388" i="2" s="1"/>
  <c r="E389" i="2" a="1"/>
  <c r="E389" i="2" s="1"/>
  <c r="E390" i="2" a="1"/>
  <c r="E390" i="2" s="1"/>
  <c r="E391" i="2" a="1"/>
  <c r="E391" i="2" s="1"/>
  <c r="E392" i="2" a="1"/>
  <c r="E392" i="2" s="1"/>
  <c r="E393" i="2" a="1"/>
  <c r="E393" i="2" s="1"/>
  <c r="E394" i="2" a="1"/>
  <c r="E394" i="2" s="1"/>
  <c r="E395" i="2" a="1"/>
  <c r="E395" i="2" s="1"/>
  <c r="E396" i="2" a="1"/>
  <c r="E396" i="2" s="1"/>
  <c r="E397" i="2" a="1"/>
  <c r="E397" i="2" s="1"/>
  <c r="E398" i="2" a="1"/>
  <c r="E398" i="2" s="1"/>
  <c r="E399" i="2" a="1"/>
  <c r="E399" i="2" s="1"/>
  <c r="E400" i="2" a="1"/>
  <c r="E400" i="2" s="1"/>
  <c r="E401" i="2" a="1"/>
  <c r="E401" i="2" s="1"/>
  <c r="E402" i="2" a="1"/>
  <c r="E402" i="2" s="1"/>
  <c r="E403" i="2" a="1"/>
  <c r="E403" i="2" s="1"/>
  <c r="E404" i="2" a="1"/>
  <c r="E404" i="2" s="1"/>
  <c r="E405" i="2" a="1"/>
  <c r="E405" i="2" s="1"/>
  <c r="E406" i="2" a="1"/>
  <c r="E406" i="2" s="1"/>
  <c r="E407" i="2" a="1"/>
  <c r="E407" i="2" s="1"/>
  <c r="E408" i="2" a="1"/>
  <c r="E408" i="2" s="1"/>
  <c r="E409" i="2" a="1"/>
  <c r="E409" i="2" s="1"/>
  <c r="E410" i="2" a="1"/>
  <c r="E410" i="2" s="1"/>
  <c r="E411" i="2" a="1"/>
  <c r="E411" i="2" s="1"/>
  <c r="E412" i="2" a="1"/>
  <c r="E412" i="2" s="1"/>
  <c r="E413" i="2" a="1"/>
  <c r="E413" i="2" s="1"/>
  <c r="E414" i="2" a="1"/>
  <c r="E414" i="2" s="1"/>
  <c r="E415" i="2" a="1"/>
  <c r="E415" i="2" s="1"/>
  <c r="E416" i="2" a="1"/>
  <c r="E416" i="2" s="1"/>
  <c r="E417" i="2" a="1"/>
  <c r="E417" i="2" s="1"/>
  <c r="E418" i="2" a="1"/>
  <c r="E418" i="2" s="1"/>
  <c r="E419" i="2" a="1"/>
  <c r="E419" i="2" s="1"/>
  <c r="E420" i="2" a="1"/>
  <c r="E420" i="2" s="1"/>
  <c r="E421" i="2" a="1"/>
  <c r="E421" i="2" s="1"/>
  <c r="E422" i="2" a="1"/>
  <c r="E422" i="2" s="1"/>
  <c r="E423" i="2" a="1"/>
  <c r="E423" i="2" s="1"/>
  <c r="E424" i="2" a="1"/>
  <c r="E424" i="2" s="1"/>
  <c r="E425" i="2" a="1"/>
  <c r="E425" i="2" s="1"/>
  <c r="E426" i="2" a="1"/>
  <c r="E426" i="2" s="1"/>
  <c r="E427" i="2" a="1"/>
  <c r="E427" i="2" s="1"/>
  <c r="E428" i="2" a="1"/>
  <c r="E428" i="2" s="1"/>
  <c r="E429" i="2" a="1"/>
  <c r="E429" i="2" s="1"/>
  <c r="E430" i="2" a="1"/>
  <c r="E430" i="2" s="1"/>
  <c r="E431" i="2" a="1"/>
  <c r="E431" i="2" s="1"/>
  <c r="E432" i="2" a="1"/>
  <c r="E432" i="2" s="1"/>
  <c r="E433" i="2" a="1"/>
  <c r="E433" i="2" s="1"/>
  <c r="E434" i="2" a="1"/>
  <c r="E434" i="2" s="1"/>
  <c r="E435" i="2" a="1"/>
  <c r="E435" i="2" s="1"/>
  <c r="E436" i="2" a="1"/>
  <c r="E436" i="2" s="1"/>
  <c r="E437" i="2" a="1"/>
  <c r="E437" i="2" s="1"/>
  <c r="E438" i="2" a="1"/>
  <c r="E438" i="2" s="1"/>
  <c r="E439" i="2" a="1"/>
  <c r="E439" i="2" s="1"/>
  <c r="E440" i="2" a="1"/>
  <c r="E440" i="2" s="1"/>
  <c r="E441" i="2" a="1"/>
  <c r="E441" i="2" s="1"/>
  <c r="E442" i="2" a="1"/>
  <c r="E442" i="2" s="1"/>
  <c r="E443" i="2" a="1"/>
  <c r="E443" i="2" s="1"/>
  <c r="E444" i="2" a="1"/>
  <c r="E444" i="2" s="1"/>
  <c r="E445" i="2" a="1"/>
  <c r="E445" i="2" s="1"/>
  <c r="E446" i="2" a="1"/>
  <c r="E446" i="2" s="1"/>
  <c r="E447" i="2" a="1"/>
  <c r="E447" i="2" s="1"/>
  <c r="E448" i="2" a="1"/>
  <c r="E448" i="2" s="1"/>
  <c r="E449" i="2" a="1"/>
  <c r="E449" i="2" s="1"/>
  <c r="E450" i="2" a="1"/>
  <c r="E450" i="2" s="1"/>
  <c r="E451" i="2" a="1"/>
  <c r="E451" i="2" s="1"/>
  <c r="E452" i="2" a="1"/>
  <c r="E452" i="2" s="1"/>
  <c r="E453" i="2" a="1"/>
  <c r="E453" i="2" s="1"/>
  <c r="E454" i="2" a="1"/>
  <c r="E454" i="2" s="1"/>
  <c r="E455" i="2" a="1"/>
  <c r="E455" i="2" s="1"/>
  <c r="E456" i="2" a="1"/>
  <c r="E456" i="2" s="1"/>
  <c r="E457" i="2" a="1"/>
  <c r="E457" i="2" s="1"/>
  <c r="E458" i="2" a="1"/>
  <c r="E458" i="2" s="1"/>
  <c r="E459" i="2" a="1"/>
  <c r="E459" i="2" s="1"/>
  <c r="E460" i="2" a="1"/>
  <c r="E460" i="2" s="1"/>
  <c r="E461" i="2" a="1"/>
  <c r="E461" i="2" s="1"/>
  <c r="E462" i="2" a="1"/>
  <c r="E462" i="2" s="1"/>
  <c r="E463" i="2" a="1"/>
  <c r="E463" i="2" s="1"/>
  <c r="E464" i="2" a="1"/>
  <c r="E464" i="2" s="1"/>
  <c r="E465" i="2" a="1"/>
  <c r="E465" i="2" s="1"/>
  <c r="E466" i="2" a="1"/>
  <c r="E466" i="2" s="1"/>
  <c r="E467" i="2" a="1"/>
  <c r="E467" i="2" s="1"/>
  <c r="E468" i="2" a="1"/>
  <c r="E468" i="2" s="1"/>
  <c r="E469" i="2" a="1"/>
  <c r="E469" i="2" s="1"/>
  <c r="E470" i="2" a="1"/>
  <c r="E470" i="2" s="1"/>
  <c r="E471" i="2" a="1"/>
  <c r="E471" i="2" s="1"/>
  <c r="E472" i="2" a="1"/>
  <c r="E472" i="2" s="1"/>
  <c r="E473" i="2" a="1"/>
  <c r="E473" i="2" s="1"/>
  <c r="E474" i="2" a="1"/>
  <c r="E474" i="2" s="1"/>
  <c r="E475" i="2" a="1"/>
  <c r="E475" i="2" s="1"/>
  <c r="E476" i="2" a="1"/>
  <c r="E476" i="2" s="1"/>
  <c r="E477" i="2" a="1"/>
  <c r="E477" i="2" s="1"/>
  <c r="E478" i="2" a="1"/>
  <c r="E478" i="2" s="1"/>
  <c r="E479" i="2" a="1"/>
  <c r="E479" i="2" s="1"/>
  <c r="E480" i="2" a="1"/>
  <c r="E480" i="2" s="1"/>
  <c r="E481" i="2" a="1"/>
  <c r="E481" i="2" s="1"/>
  <c r="E482" i="2" a="1"/>
  <c r="E482" i="2" s="1"/>
  <c r="E483" i="2" a="1"/>
  <c r="E483" i="2" s="1"/>
  <c r="E484" i="2" a="1"/>
  <c r="E484" i="2" s="1"/>
  <c r="E485" i="2" a="1"/>
  <c r="E485" i="2" s="1"/>
  <c r="E486" i="2" a="1"/>
  <c r="E486" i="2" s="1"/>
  <c r="E487" i="2" a="1"/>
  <c r="E487" i="2" s="1"/>
  <c r="E488" i="2" a="1"/>
  <c r="E488" i="2" s="1"/>
  <c r="E489" i="2" a="1"/>
  <c r="E489" i="2" s="1"/>
  <c r="E490" i="2" a="1"/>
  <c r="E490" i="2" s="1"/>
  <c r="E491" i="2" a="1"/>
  <c r="E491" i="2" s="1"/>
  <c r="E492" i="2" a="1"/>
  <c r="E492" i="2" s="1"/>
  <c r="E493" i="2" a="1"/>
  <c r="E493" i="2" s="1"/>
  <c r="E494" i="2" a="1"/>
  <c r="E494" i="2" s="1"/>
  <c r="E495" i="2" a="1"/>
  <c r="E495" i="2" s="1"/>
  <c r="E496" i="2" a="1"/>
  <c r="E496" i="2" s="1"/>
  <c r="E497" i="2" a="1"/>
  <c r="E497" i="2" s="1"/>
  <c r="E498" i="2" a="1"/>
  <c r="E498" i="2" s="1"/>
  <c r="E499" i="2" a="1"/>
  <c r="E499" i="2" s="1"/>
  <c r="E500" i="2" a="1"/>
  <c r="E500" i="2" s="1"/>
  <c r="E501" i="2" a="1"/>
  <c r="E501" i="2" s="1"/>
  <c r="E502" i="2" a="1"/>
  <c r="E502" i="2" s="1"/>
  <c r="E503" i="2" a="1"/>
  <c r="E503" i="2" s="1"/>
  <c r="E504" i="2" a="1"/>
  <c r="E504" i="2" s="1"/>
  <c r="E505" i="2" a="1"/>
  <c r="E505" i="2" s="1"/>
  <c r="E506" i="2" a="1"/>
  <c r="E506" i="2" s="1"/>
  <c r="E507" i="2" a="1"/>
  <c r="E507" i="2" s="1"/>
  <c r="E508" i="2" a="1"/>
  <c r="E508" i="2" s="1"/>
  <c r="E509" i="2" a="1"/>
  <c r="E509" i="2" s="1"/>
  <c r="E510" i="2" a="1"/>
  <c r="E510" i="2" s="1"/>
  <c r="E511" i="2" a="1"/>
  <c r="E511" i="2" s="1"/>
  <c r="E512" i="2" a="1"/>
  <c r="E512" i="2" s="1"/>
  <c r="E513" i="2" a="1"/>
  <c r="E513" i="2" s="1"/>
  <c r="E514" i="2" a="1"/>
  <c r="E514" i="2" s="1"/>
  <c r="E515" i="2" a="1"/>
  <c r="E515" i="2" s="1"/>
  <c r="E516" i="2" a="1"/>
  <c r="E516" i="2" s="1"/>
  <c r="E517" i="2" a="1"/>
  <c r="E517" i="2" s="1"/>
  <c r="E518" i="2" a="1"/>
  <c r="E518" i="2" s="1"/>
  <c r="E519" i="2" a="1"/>
  <c r="E519" i="2" s="1"/>
  <c r="E520" i="2" a="1"/>
  <c r="E520" i="2" s="1"/>
  <c r="E521" i="2" a="1"/>
  <c r="E521" i="2" s="1"/>
  <c r="E522" i="2" a="1"/>
  <c r="E522" i="2" s="1"/>
  <c r="E523" i="2" a="1"/>
  <c r="E523" i="2" s="1"/>
  <c r="E524" i="2" a="1"/>
  <c r="E524" i="2" s="1"/>
  <c r="E525" i="2" a="1"/>
  <c r="E525" i="2" s="1"/>
  <c r="E526" i="2" a="1"/>
  <c r="E526" i="2" s="1"/>
  <c r="E527" i="2" a="1"/>
  <c r="E527" i="2" s="1"/>
  <c r="E528" i="2" a="1"/>
  <c r="E528" i="2" s="1"/>
  <c r="E529" i="2" a="1"/>
  <c r="E529" i="2" s="1"/>
  <c r="E530" i="2" a="1"/>
  <c r="E530" i="2" s="1"/>
  <c r="E531" i="2" a="1"/>
  <c r="E531" i="2" s="1"/>
  <c r="F3" i="2" a="1"/>
  <c r="F3" i="2" s="1"/>
  <c r="F4" i="2" a="1"/>
  <c r="F4" i="2" s="1"/>
  <c r="F5" i="2" a="1"/>
  <c r="F5" i="2" s="1"/>
  <c r="F6" i="2" a="1"/>
  <c r="F6" i="2" s="1"/>
  <c r="F7" i="2" a="1"/>
  <c r="F7" i="2" s="1"/>
  <c r="F8" i="2" a="1"/>
  <c r="F8" i="2" s="1"/>
  <c r="F9" i="2" a="1"/>
  <c r="F9" i="2" s="1"/>
  <c r="F10" i="2" a="1"/>
  <c r="F10" i="2"/>
  <c r="F11" i="2" a="1"/>
  <c r="F11" i="2" s="1"/>
  <c r="F12" i="2" a="1"/>
  <c r="F12" i="2" s="1"/>
  <c r="F13" i="2" a="1"/>
  <c r="F13" i="2" s="1"/>
  <c r="F14" i="2" a="1"/>
  <c r="F14" i="2" s="1"/>
  <c r="F15" i="2" a="1"/>
  <c r="F15" i="2" s="1"/>
  <c r="F16" i="2" a="1"/>
  <c r="F16" i="2" s="1"/>
  <c r="F17" i="2" a="1"/>
  <c r="F17" i="2" s="1"/>
  <c r="F18" i="2" a="1"/>
  <c r="F18" i="2"/>
  <c r="F19" i="2" a="1"/>
  <c r="F19" i="2" s="1"/>
  <c r="F20" i="2" a="1"/>
  <c r="F20" i="2" s="1"/>
  <c r="F21" i="2" a="1"/>
  <c r="F21" i="2" s="1"/>
  <c r="F22" i="2" a="1"/>
  <c r="F22" i="2" s="1"/>
  <c r="F23" i="2" a="1"/>
  <c r="F23" i="2" s="1"/>
  <c r="F24" i="2" a="1"/>
  <c r="F24" i="2" s="1"/>
  <c r="F25" i="2" a="1"/>
  <c r="F25" i="2" s="1"/>
  <c r="F26" i="2" a="1"/>
  <c r="F26" i="2"/>
  <c r="F27" i="2" a="1"/>
  <c r="F27" i="2" s="1"/>
  <c r="F28" i="2" a="1"/>
  <c r="F28" i="2" s="1"/>
  <c r="F29" i="2" a="1"/>
  <c r="F29" i="2" s="1"/>
  <c r="F30" i="2" a="1"/>
  <c r="F30" i="2" s="1"/>
  <c r="F31" i="2" a="1"/>
  <c r="F31" i="2" s="1"/>
  <c r="F32" i="2" a="1"/>
  <c r="F32" i="2" s="1"/>
  <c r="F33" i="2" a="1"/>
  <c r="F33" i="2" s="1"/>
  <c r="F34" i="2" a="1"/>
  <c r="F34" i="2"/>
  <c r="F35" i="2" a="1"/>
  <c r="F35" i="2" s="1"/>
  <c r="F36" i="2" a="1"/>
  <c r="F36" i="2" s="1"/>
  <c r="F37" i="2" a="1"/>
  <c r="F37" i="2" s="1"/>
  <c r="F38" i="2" a="1"/>
  <c r="F38" i="2" s="1"/>
  <c r="F39" i="2" a="1"/>
  <c r="F39" i="2" s="1"/>
  <c r="F40" i="2" a="1"/>
  <c r="F40" i="2" s="1"/>
  <c r="F41" i="2" a="1"/>
  <c r="F41" i="2" s="1"/>
  <c r="F42" i="2" a="1"/>
  <c r="F42" i="2"/>
  <c r="F43" i="2" a="1"/>
  <c r="F43" i="2" s="1"/>
  <c r="F44" i="2" a="1"/>
  <c r="F44" i="2" s="1"/>
  <c r="F45" i="2" a="1"/>
  <c r="F45" i="2" s="1"/>
  <c r="F46" i="2" a="1"/>
  <c r="F46" i="2" s="1"/>
  <c r="F47" i="2" a="1"/>
  <c r="F47" i="2" s="1"/>
  <c r="F48" i="2" a="1"/>
  <c r="F48" i="2" s="1"/>
  <c r="F49" i="2" a="1"/>
  <c r="F49" i="2" s="1"/>
  <c r="F50" i="2" a="1"/>
  <c r="F50" i="2"/>
  <c r="F51" i="2" a="1"/>
  <c r="F51" i="2" s="1"/>
  <c r="F52" i="2" a="1"/>
  <c r="F52" i="2" s="1"/>
  <c r="F53" i="2" a="1"/>
  <c r="F53" i="2" s="1"/>
  <c r="F54" i="2" a="1"/>
  <c r="F54" i="2" s="1"/>
  <c r="F55" i="2" a="1"/>
  <c r="F55" i="2" s="1"/>
  <c r="F56" i="2" a="1"/>
  <c r="F56" i="2" s="1"/>
  <c r="F57" i="2" a="1"/>
  <c r="F57" i="2" s="1"/>
  <c r="F58" i="2" a="1"/>
  <c r="F58" i="2"/>
  <c r="F59" i="2" a="1"/>
  <c r="F59" i="2" s="1"/>
  <c r="F60" i="2" a="1"/>
  <c r="F60" i="2" s="1"/>
  <c r="F61" i="2" a="1"/>
  <c r="F61" i="2" s="1"/>
  <c r="F62" i="2" a="1"/>
  <c r="F62" i="2" s="1"/>
  <c r="F63" i="2" a="1"/>
  <c r="F63" i="2" s="1"/>
  <c r="F64" i="2" a="1"/>
  <c r="F64" i="2" s="1"/>
  <c r="F65" i="2" a="1"/>
  <c r="F65" i="2" s="1"/>
  <c r="F66" i="2" a="1"/>
  <c r="F66" i="2"/>
  <c r="F67" i="2" a="1"/>
  <c r="F67" i="2" s="1"/>
  <c r="F68" i="2" a="1"/>
  <c r="F68" i="2" s="1"/>
  <c r="F69" i="2" a="1"/>
  <c r="F69" i="2" s="1"/>
  <c r="F70" i="2" a="1"/>
  <c r="F70" i="2" s="1"/>
  <c r="F71" i="2" a="1"/>
  <c r="F71" i="2" s="1"/>
  <c r="F72" i="2" a="1"/>
  <c r="F72" i="2" s="1"/>
  <c r="F73" i="2" a="1"/>
  <c r="F73" i="2" s="1"/>
  <c r="F74" i="2" a="1"/>
  <c r="F74" i="2"/>
  <c r="F75" i="2" a="1"/>
  <c r="F75" i="2" s="1"/>
  <c r="F76" i="2" a="1"/>
  <c r="F76" i="2" s="1"/>
  <c r="F77" i="2" a="1"/>
  <c r="F77" i="2" s="1"/>
  <c r="F78" i="2" a="1"/>
  <c r="F78" i="2" s="1"/>
  <c r="F79" i="2" a="1"/>
  <c r="F79" i="2" s="1"/>
  <c r="F80" i="2" a="1"/>
  <c r="F80" i="2" s="1"/>
  <c r="F81" i="2" a="1"/>
  <c r="F81" i="2" s="1"/>
  <c r="F82" i="2" a="1"/>
  <c r="F82" i="2"/>
  <c r="F83" i="2" a="1"/>
  <c r="F83" i="2" s="1"/>
  <c r="F84" i="2" a="1"/>
  <c r="F84" i="2" s="1"/>
  <c r="F85" i="2" a="1"/>
  <c r="F85" i="2" s="1"/>
  <c r="F86" i="2" a="1"/>
  <c r="F86" i="2" s="1"/>
  <c r="F87" i="2" a="1"/>
  <c r="F87" i="2" s="1"/>
  <c r="F88" i="2" a="1"/>
  <c r="F88" i="2" s="1"/>
  <c r="F89" i="2" a="1"/>
  <c r="F89" i="2" s="1"/>
  <c r="F90" i="2" a="1"/>
  <c r="F90" i="2"/>
  <c r="F91" i="2" a="1"/>
  <c r="F91" i="2" s="1"/>
  <c r="F92" i="2" a="1"/>
  <c r="F92" i="2" s="1"/>
  <c r="F93" i="2" a="1"/>
  <c r="F93" i="2" s="1"/>
  <c r="F94" i="2" a="1"/>
  <c r="F94" i="2" s="1"/>
  <c r="F95" i="2" a="1"/>
  <c r="F95" i="2" s="1"/>
  <c r="F96" i="2" a="1"/>
  <c r="F96" i="2" s="1"/>
  <c r="F97" i="2" a="1"/>
  <c r="F97" i="2" s="1"/>
  <c r="F98" i="2" a="1"/>
  <c r="F98" i="2"/>
  <c r="F99" i="2" a="1"/>
  <c r="F99" i="2" s="1"/>
  <c r="F100" i="2" a="1"/>
  <c r="F100" i="2" s="1"/>
  <c r="F101" i="2" a="1"/>
  <c r="F101" i="2" s="1"/>
  <c r="F102" i="2" a="1"/>
  <c r="F102" i="2" s="1"/>
  <c r="F103" i="2" a="1"/>
  <c r="F103" i="2" s="1"/>
  <c r="F104" i="2" a="1"/>
  <c r="F104" i="2" s="1"/>
  <c r="F105" i="2" a="1"/>
  <c r="F105" i="2" s="1"/>
  <c r="F106" i="2" a="1"/>
  <c r="F106" i="2"/>
  <c r="F107" i="2" a="1"/>
  <c r="F107" i="2" s="1"/>
  <c r="F108" i="2" a="1"/>
  <c r="F108" i="2" s="1"/>
  <c r="F109" i="2" a="1"/>
  <c r="F109" i="2" s="1"/>
  <c r="F110" i="2" a="1"/>
  <c r="F110" i="2" s="1"/>
  <c r="F111" i="2" a="1"/>
  <c r="F111" i="2" s="1"/>
  <c r="F112" i="2" a="1"/>
  <c r="F112" i="2" s="1"/>
  <c r="F113" i="2" a="1"/>
  <c r="F113" i="2" s="1"/>
  <c r="F114" i="2" a="1"/>
  <c r="F114" i="2"/>
  <c r="F115" i="2" a="1"/>
  <c r="F115" i="2" s="1"/>
  <c r="F116" i="2" a="1"/>
  <c r="F116" i="2" s="1"/>
  <c r="F117" i="2" a="1"/>
  <c r="F117" i="2" s="1"/>
  <c r="F118" i="2" a="1"/>
  <c r="F118" i="2" s="1"/>
  <c r="F119" i="2" a="1"/>
  <c r="F119" i="2" s="1"/>
  <c r="F120" i="2" a="1"/>
  <c r="F120" i="2" s="1"/>
  <c r="F121" i="2" a="1"/>
  <c r="F121" i="2" s="1"/>
  <c r="F122" i="2" a="1"/>
  <c r="F122" i="2" s="1"/>
  <c r="F123" i="2" a="1"/>
  <c r="F123" i="2" s="1"/>
  <c r="F124" i="2" a="1"/>
  <c r="F124" i="2" s="1"/>
  <c r="F125" i="2" a="1"/>
  <c r="F125" i="2" s="1"/>
  <c r="F126" i="2" a="1"/>
  <c r="F126" i="2" s="1"/>
  <c r="F127" i="2" a="1"/>
  <c r="F127" i="2" s="1"/>
  <c r="F128" i="2" a="1"/>
  <c r="F128" i="2" s="1"/>
  <c r="F129" i="2" a="1"/>
  <c r="F129" i="2" s="1"/>
  <c r="F130" i="2" a="1"/>
  <c r="F130" i="2" s="1"/>
  <c r="F131" i="2" a="1"/>
  <c r="F131" i="2" s="1"/>
  <c r="F132" i="2" a="1"/>
  <c r="F132" i="2" s="1"/>
  <c r="F133" i="2" a="1"/>
  <c r="F133" i="2" s="1"/>
  <c r="F134" i="2" a="1"/>
  <c r="F134" i="2" s="1"/>
  <c r="F135" i="2" a="1"/>
  <c r="F135" i="2" s="1"/>
  <c r="F136" i="2" a="1"/>
  <c r="F136" i="2" s="1"/>
  <c r="F137" i="2" a="1"/>
  <c r="F137" i="2" s="1"/>
  <c r="F138" i="2" a="1"/>
  <c r="F138" i="2" s="1"/>
  <c r="F139" i="2" a="1"/>
  <c r="F139" i="2" s="1"/>
  <c r="F140" i="2" a="1"/>
  <c r="F140" i="2" s="1"/>
  <c r="F141" i="2" a="1"/>
  <c r="F141" i="2" s="1"/>
  <c r="F142" i="2" a="1"/>
  <c r="F142" i="2" s="1"/>
  <c r="F143" i="2" a="1"/>
  <c r="F143" i="2" s="1"/>
  <c r="F144" i="2" a="1"/>
  <c r="F144" i="2" s="1"/>
  <c r="F145" i="2" a="1"/>
  <c r="F145" i="2" s="1"/>
  <c r="F146" i="2" a="1"/>
  <c r="F146" i="2" s="1"/>
  <c r="F147" i="2" a="1"/>
  <c r="F147" i="2" s="1"/>
  <c r="F148" i="2" a="1"/>
  <c r="F148" i="2" s="1"/>
  <c r="F149" i="2" a="1"/>
  <c r="F149" i="2" s="1"/>
  <c r="F150" i="2" a="1"/>
  <c r="F150" i="2" s="1"/>
  <c r="F151" i="2" a="1"/>
  <c r="F151" i="2" s="1"/>
  <c r="F152" i="2" a="1"/>
  <c r="F152" i="2" s="1"/>
  <c r="F153" i="2" a="1"/>
  <c r="F153" i="2" s="1"/>
  <c r="F154" i="2" a="1"/>
  <c r="F154" i="2" s="1"/>
  <c r="F155" i="2" a="1"/>
  <c r="F155" i="2" s="1"/>
  <c r="F156" i="2" a="1"/>
  <c r="F156" i="2" s="1"/>
  <c r="F157" i="2" a="1"/>
  <c r="F157" i="2" s="1"/>
  <c r="F158" i="2" a="1"/>
  <c r="F158" i="2" s="1"/>
  <c r="F159" i="2" a="1"/>
  <c r="F159" i="2" s="1"/>
  <c r="F160" i="2" a="1"/>
  <c r="F160" i="2" s="1"/>
  <c r="F161" i="2" a="1"/>
  <c r="F161" i="2" s="1"/>
  <c r="F162" i="2" a="1"/>
  <c r="F162" i="2" s="1"/>
  <c r="F163" i="2" a="1"/>
  <c r="F163" i="2" s="1"/>
  <c r="F164" i="2" a="1"/>
  <c r="F164" i="2" s="1"/>
  <c r="F165" i="2" a="1"/>
  <c r="F165" i="2" s="1"/>
  <c r="F166" i="2" a="1"/>
  <c r="F166" i="2" s="1"/>
  <c r="F167" i="2" a="1"/>
  <c r="F167" i="2" s="1"/>
  <c r="F168" i="2" a="1"/>
  <c r="F168" i="2" s="1"/>
  <c r="F169" i="2" a="1"/>
  <c r="F169" i="2" s="1"/>
  <c r="F170" i="2" a="1"/>
  <c r="F170" i="2" s="1"/>
  <c r="F171" i="2" a="1"/>
  <c r="F171" i="2" s="1"/>
  <c r="F172" i="2" a="1"/>
  <c r="F172" i="2" s="1"/>
  <c r="F173" i="2" a="1"/>
  <c r="F173" i="2" s="1"/>
  <c r="F174" i="2" a="1"/>
  <c r="F174" i="2" s="1"/>
  <c r="F175" i="2" a="1"/>
  <c r="F175" i="2" s="1"/>
  <c r="F176" i="2" a="1"/>
  <c r="F176" i="2" s="1"/>
  <c r="F177" i="2" a="1"/>
  <c r="F177" i="2" s="1"/>
  <c r="F178" i="2" a="1"/>
  <c r="F178" i="2" s="1"/>
  <c r="F179" i="2" a="1"/>
  <c r="F179" i="2" s="1"/>
  <c r="F180" i="2" a="1"/>
  <c r="F180" i="2" s="1"/>
  <c r="F181" i="2" a="1"/>
  <c r="F181" i="2" s="1"/>
  <c r="F182" i="2" a="1"/>
  <c r="F182" i="2" s="1"/>
  <c r="F183" i="2" a="1"/>
  <c r="F183" i="2" s="1"/>
  <c r="F184" i="2" a="1"/>
  <c r="F184" i="2" s="1"/>
  <c r="F185" i="2" a="1"/>
  <c r="F185" i="2" s="1"/>
  <c r="F186" i="2" a="1"/>
  <c r="F186" i="2" s="1"/>
  <c r="F187" i="2" a="1"/>
  <c r="F187" i="2" s="1"/>
  <c r="F188" i="2" a="1"/>
  <c r="F188" i="2" s="1"/>
  <c r="F189" i="2" a="1"/>
  <c r="F189" i="2" s="1"/>
  <c r="F190" i="2" a="1"/>
  <c r="F190" i="2" s="1"/>
  <c r="F191" i="2" a="1"/>
  <c r="F191" i="2" s="1"/>
  <c r="F192" i="2" a="1"/>
  <c r="F192" i="2" s="1"/>
  <c r="F193" i="2" a="1"/>
  <c r="F193" i="2" s="1"/>
  <c r="F194" i="2" a="1"/>
  <c r="F194" i="2" s="1"/>
  <c r="F195" i="2" a="1"/>
  <c r="F195" i="2" s="1"/>
  <c r="F196" i="2" a="1"/>
  <c r="F196" i="2" s="1"/>
  <c r="F197" i="2" a="1"/>
  <c r="F197" i="2" s="1"/>
  <c r="F198" i="2" a="1"/>
  <c r="F198" i="2" s="1"/>
  <c r="F199" i="2" a="1"/>
  <c r="F199" i="2" s="1"/>
  <c r="F200" i="2" a="1"/>
  <c r="F200" i="2" s="1"/>
  <c r="F201" i="2" a="1"/>
  <c r="F201" i="2" s="1"/>
  <c r="F202" i="2" a="1"/>
  <c r="F202" i="2" s="1"/>
  <c r="F203" i="2" a="1"/>
  <c r="F203" i="2" s="1"/>
  <c r="F204" i="2" a="1"/>
  <c r="F204" i="2" s="1"/>
  <c r="F205" i="2" a="1"/>
  <c r="F205" i="2" s="1"/>
  <c r="F206" i="2" a="1"/>
  <c r="F206" i="2" s="1"/>
  <c r="F207" i="2" a="1"/>
  <c r="F207" i="2" s="1"/>
  <c r="F208" i="2" a="1"/>
  <c r="F208" i="2" s="1"/>
  <c r="F209" i="2" a="1"/>
  <c r="F209" i="2" s="1"/>
  <c r="F210" i="2" a="1"/>
  <c r="F210" i="2" s="1"/>
  <c r="F211" i="2" a="1"/>
  <c r="F211" i="2" s="1"/>
  <c r="F212" i="2" a="1"/>
  <c r="F212" i="2" s="1"/>
  <c r="F213" i="2" a="1"/>
  <c r="F213" i="2" s="1"/>
  <c r="F214" i="2" a="1"/>
  <c r="F214" i="2" s="1"/>
  <c r="F215" i="2" a="1"/>
  <c r="F215" i="2" s="1"/>
  <c r="F216" i="2" a="1"/>
  <c r="F216" i="2" s="1"/>
  <c r="F217" i="2" a="1"/>
  <c r="F217" i="2" s="1"/>
  <c r="F218" i="2" a="1"/>
  <c r="F218" i="2" s="1"/>
  <c r="F219" i="2" a="1"/>
  <c r="F219" i="2" s="1"/>
  <c r="F220" i="2" a="1"/>
  <c r="F220" i="2" s="1"/>
  <c r="F221" i="2" a="1"/>
  <c r="F221" i="2" s="1"/>
  <c r="F222" i="2" a="1"/>
  <c r="F222" i="2" s="1"/>
  <c r="F223" i="2" a="1"/>
  <c r="F223" i="2" s="1"/>
  <c r="F224" i="2" a="1"/>
  <c r="F224" i="2" s="1"/>
  <c r="F225" i="2" a="1"/>
  <c r="F225" i="2" s="1"/>
  <c r="F226" i="2" a="1"/>
  <c r="F226" i="2" s="1"/>
  <c r="F227" i="2" a="1"/>
  <c r="F227" i="2" s="1"/>
  <c r="F228" i="2" a="1"/>
  <c r="F228" i="2" s="1"/>
  <c r="F229" i="2" a="1"/>
  <c r="F229" i="2" s="1"/>
  <c r="F230" i="2" a="1"/>
  <c r="F230" i="2" s="1"/>
  <c r="F231" i="2" a="1"/>
  <c r="F231" i="2" s="1"/>
  <c r="F232" i="2" a="1"/>
  <c r="F232" i="2" s="1"/>
  <c r="F233" i="2" a="1"/>
  <c r="F233" i="2" s="1"/>
  <c r="F234" i="2" a="1"/>
  <c r="F234" i="2" s="1"/>
  <c r="F235" i="2" a="1"/>
  <c r="F235" i="2" s="1"/>
  <c r="F236" i="2" a="1"/>
  <c r="F236" i="2" s="1"/>
  <c r="F237" i="2" a="1"/>
  <c r="F237" i="2" s="1"/>
  <c r="F238" i="2" a="1"/>
  <c r="F238" i="2" s="1"/>
  <c r="F239" i="2" a="1"/>
  <c r="F239" i="2" s="1"/>
  <c r="F240" i="2" a="1"/>
  <c r="F240" i="2" s="1"/>
  <c r="F241" i="2" a="1"/>
  <c r="F241" i="2" s="1"/>
  <c r="F242" i="2" a="1"/>
  <c r="F242" i="2" s="1"/>
  <c r="F243" i="2" a="1"/>
  <c r="F243" i="2" s="1"/>
  <c r="F244" i="2" a="1"/>
  <c r="F244" i="2" s="1"/>
  <c r="F245" i="2" a="1"/>
  <c r="F245" i="2" s="1"/>
  <c r="F246" i="2" a="1"/>
  <c r="F246" i="2" s="1"/>
  <c r="F247" i="2" a="1"/>
  <c r="F247" i="2" s="1"/>
  <c r="F248" i="2" a="1"/>
  <c r="F248" i="2" s="1"/>
  <c r="F249" i="2" a="1"/>
  <c r="F249" i="2" s="1"/>
  <c r="F250" i="2" a="1"/>
  <c r="F250" i="2" s="1"/>
  <c r="F251" i="2" a="1"/>
  <c r="F251" i="2" s="1"/>
  <c r="F252" i="2" a="1"/>
  <c r="F252" i="2" s="1"/>
  <c r="F253" i="2" a="1"/>
  <c r="F253" i="2" s="1"/>
  <c r="F254" i="2" a="1"/>
  <c r="F254" i="2" s="1"/>
  <c r="F255" i="2" a="1"/>
  <c r="F255" i="2" s="1"/>
  <c r="F256" i="2" a="1"/>
  <c r="F256" i="2" s="1"/>
  <c r="F257" i="2" a="1"/>
  <c r="F257" i="2" s="1"/>
  <c r="F258" i="2" a="1"/>
  <c r="F258" i="2" s="1"/>
  <c r="F259" i="2" a="1"/>
  <c r="F259" i="2" s="1"/>
  <c r="F260" i="2" a="1"/>
  <c r="F260" i="2" s="1"/>
  <c r="F261" i="2" a="1"/>
  <c r="F261" i="2" s="1"/>
  <c r="F262" i="2" a="1"/>
  <c r="F262" i="2" s="1"/>
  <c r="F263" i="2" a="1"/>
  <c r="F263" i="2" s="1"/>
  <c r="F264" i="2" a="1"/>
  <c r="F264" i="2" s="1"/>
  <c r="F265" i="2" a="1"/>
  <c r="F265" i="2" s="1"/>
  <c r="F266" i="2" a="1"/>
  <c r="F266" i="2" s="1"/>
  <c r="F267" i="2" a="1"/>
  <c r="F267" i="2" s="1"/>
  <c r="F268" i="2" a="1"/>
  <c r="F268" i="2" s="1"/>
  <c r="F269" i="2" a="1"/>
  <c r="F269" i="2" s="1"/>
  <c r="F270" i="2" a="1"/>
  <c r="F270" i="2" s="1"/>
  <c r="F271" i="2" a="1"/>
  <c r="F271" i="2" s="1"/>
  <c r="F272" i="2" a="1"/>
  <c r="F272" i="2" s="1"/>
  <c r="F273" i="2" a="1"/>
  <c r="F273" i="2" s="1"/>
  <c r="F274" i="2" a="1"/>
  <c r="F274" i="2" s="1"/>
  <c r="F275" i="2" a="1"/>
  <c r="F275" i="2" s="1"/>
  <c r="F276" i="2" a="1"/>
  <c r="F276" i="2" s="1"/>
  <c r="F277" i="2" a="1"/>
  <c r="F277" i="2" s="1"/>
  <c r="F278" i="2" a="1"/>
  <c r="F278" i="2" s="1"/>
  <c r="F279" i="2" a="1"/>
  <c r="F279" i="2" s="1"/>
  <c r="F280" i="2" a="1"/>
  <c r="F280" i="2" s="1"/>
  <c r="F281" i="2" a="1"/>
  <c r="F281" i="2" s="1"/>
  <c r="F282" i="2" a="1"/>
  <c r="F282" i="2" s="1"/>
  <c r="F283" i="2" a="1"/>
  <c r="F283" i="2" s="1"/>
  <c r="F284" i="2" a="1"/>
  <c r="F284" i="2" s="1"/>
  <c r="F285" i="2" a="1"/>
  <c r="F285" i="2" s="1"/>
  <c r="F286" i="2" a="1"/>
  <c r="F286" i="2" s="1"/>
  <c r="F287" i="2" a="1"/>
  <c r="F287" i="2" s="1"/>
  <c r="F288" i="2" a="1"/>
  <c r="F288" i="2" s="1"/>
  <c r="F289" i="2" a="1"/>
  <c r="F289" i="2" s="1"/>
  <c r="F290" i="2" a="1"/>
  <c r="F290" i="2" s="1"/>
  <c r="F291" i="2" a="1"/>
  <c r="F291" i="2" s="1"/>
  <c r="F292" i="2" a="1"/>
  <c r="F292" i="2" s="1"/>
  <c r="F293" i="2" a="1"/>
  <c r="F293" i="2" s="1"/>
  <c r="F294" i="2" a="1"/>
  <c r="F294" i="2" s="1"/>
  <c r="F295" i="2" a="1"/>
  <c r="F295" i="2" s="1"/>
  <c r="F296" i="2" a="1"/>
  <c r="F296" i="2" s="1"/>
  <c r="F297" i="2" a="1"/>
  <c r="F297" i="2" s="1"/>
  <c r="F298" i="2" a="1"/>
  <c r="F298" i="2" s="1"/>
  <c r="F299" i="2" a="1"/>
  <c r="F299" i="2" s="1"/>
  <c r="F300" i="2" a="1"/>
  <c r="F300" i="2" s="1"/>
  <c r="F301" i="2" a="1"/>
  <c r="F301" i="2" s="1"/>
  <c r="F302" i="2" a="1"/>
  <c r="F302" i="2" s="1"/>
  <c r="F303" i="2" a="1"/>
  <c r="F303" i="2" s="1"/>
  <c r="F304" i="2" a="1"/>
  <c r="F304" i="2" s="1"/>
  <c r="F305" i="2" a="1"/>
  <c r="F305" i="2" s="1"/>
  <c r="F306" i="2" a="1"/>
  <c r="F306" i="2" s="1"/>
  <c r="F307" i="2" a="1"/>
  <c r="F307" i="2" s="1"/>
  <c r="F308" i="2" a="1"/>
  <c r="F308" i="2" s="1"/>
  <c r="F309" i="2" a="1"/>
  <c r="F309" i="2" s="1"/>
  <c r="F310" i="2" a="1"/>
  <c r="F310" i="2" s="1"/>
  <c r="F311" i="2" a="1"/>
  <c r="F311" i="2" s="1"/>
  <c r="F312" i="2" a="1"/>
  <c r="F312" i="2" s="1"/>
  <c r="F313" i="2" a="1"/>
  <c r="F313" i="2" s="1"/>
  <c r="F314" i="2" a="1"/>
  <c r="F314" i="2" s="1"/>
  <c r="F315" i="2" a="1"/>
  <c r="F315" i="2" s="1"/>
  <c r="F316" i="2" a="1"/>
  <c r="F316" i="2" s="1"/>
  <c r="F317" i="2" a="1"/>
  <c r="F317" i="2" s="1"/>
  <c r="F318" i="2" a="1"/>
  <c r="F318" i="2" s="1"/>
  <c r="F319" i="2" a="1"/>
  <c r="F319" i="2" s="1"/>
  <c r="F320" i="2" a="1"/>
  <c r="F320" i="2" s="1"/>
  <c r="F321" i="2" a="1"/>
  <c r="F321" i="2" s="1"/>
  <c r="F322" i="2" a="1"/>
  <c r="F322" i="2" s="1"/>
  <c r="F323" i="2" a="1"/>
  <c r="F323" i="2" s="1"/>
  <c r="F324" i="2" a="1"/>
  <c r="F324" i="2" s="1"/>
  <c r="F325" i="2" a="1"/>
  <c r="F325" i="2" s="1"/>
  <c r="F326" i="2" a="1"/>
  <c r="F326" i="2" s="1"/>
  <c r="F327" i="2" a="1"/>
  <c r="F327" i="2" s="1"/>
  <c r="F328" i="2" a="1"/>
  <c r="F328" i="2" s="1"/>
  <c r="F329" i="2" a="1"/>
  <c r="F329" i="2" s="1"/>
  <c r="F330" i="2" a="1"/>
  <c r="F330" i="2" s="1"/>
  <c r="F331" i="2" a="1"/>
  <c r="F331" i="2" s="1"/>
  <c r="F332" i="2" a="1"/>
  <c r="F332" i="2" s="1"/>
  <c r="F333" i="2" a="1"/>
  <c r="F333" i="2" s="1"/>
  <c r="F334" i="2" a="1"/>
  <c r="F334" i="2" s="1"/>
  <c r="F335" i="2" a="1"/>
  <c r="F335" i="2" s="1"/>
  <c r="F336" i="2" a="1"/>
  <c r="F336" i="2" s="1"/>
  <c r="F337" i="2" a="1"/>
  <c r="F337" i="2" s="1"/>
  <c r="F338" i="2" a="1"/>
  <c r="F338" i="2" s="1"/>
  <c r="F339" i="2" a="1"/>
  <c r="F339" i="2" s="1"/>
  <c r="F340" i="2" a="1"/>
  <c r="F340" i="2" s="1"/>
  <c r="F341" i="2" a="1"/>
  <c r="F341" i="2" s="1"/>
  <c r="F342" i="2" a="1"/>
  <c r="F342" i="2" s="1"/>
  <c r="F343" i="2" a="1"/>
  <c r="F343" i="2" s="1"/>
  <c r="F344" i="2" a="1"/>
  <c r="F344" i="2" s="1"/>
  <c r="F345" i="2" a="1"/>
  <c r="F345" i="2" s="1"/>
  <c r="F346" i="2" a="1"/>
  <c r="F346" i="2" s="1"/>
  <c r="F347" i="2" a="1"/>
  <c r="F347" i="2" s="1"/>
  <c r="F348" i="2" a="1"/>
  <c r="F348" i="2" s="1"/>
  <c r="F349" i="2" a="1"/>
  <c r="F349" i="2" s="1"/>
  <c r="F350" i="2" a="1"/>
  <c r="F350" i="2" s="1"/>
  <c r="F351" i="2" a="1"/>
  <c r="F351" i="2" s="1"/>
  <c r="F352" i="2" a="1"/>
  <c r="F352" i="2" s="1"/>
  <c r="F353" i="2" a="1"/>
  <c r="F353" i="2" s="1"/>
  <c r="F354" i="2" a="1"/>
  <c r="F354" i="2" s="1"/>
  <c r="F355" i="2" a="1"/>
  <c r="F355" i="2" s="1"/>
  <c r="F356" i="2" a="1"/>
  <c r="F356" i="2" s="1"/>
  <c r="F357" i="2" a="1"/>
  <c r="F357" i="2" s="1"/>
  <c r="F358" i="2" a="1"/>
  <c r="F358" i="2" s="1"/>
  <c r="F359" i="2" a="1"/>
  <c r="F359" i="2" s="1"/>
  <c r="F360" i="2" a="1"/>
  <c r="F360" i="2" s="1"/>
  <c r="F361" i="2" a="1"/>
  <c r="F361" i="2" s="1"/>
  <c r="F362" i="2" a="1"/>
  <c r="F362" i="2" s="1"/>
  <c r="F363" i="2" a="1"/>
  <c r="F363" i="2" s="1"/>
  <c r="F364" i="2" a="1"/>
  <c r="F364" i="2" s="1"/>
  <c r="F365" i="2" a="1"/>
  <c r="F365" i="2" s="1"/>
  <c r="F366" i="2" a="1"/>
  <c r="F366" i="2" s="1"/>
  <c r="F367" i="2" a="1"/>
  <c r="F367" i="2" s="1"/>
  <c r="F368" i="2" a="1"/>
  <c r="F368" i="2" s="1"/>
  <c r="F369" i="2" a="1"/>
  <c r="F369" i="2" s="1"/>
  <c r="F370" i="2" a="1"/>
  <c r="F370" i="2" s="1"/>
  <c r="F371" i="2" a="1"/>
  <c r="F371" i="2" s="1"/>
  <c r="F372" i="2" a="1"/>
  <c r="F372" i="2" s="1"/>
  <c r="F373" i="2" a="1"/>
  <c r="F373" i="2" s="1"/>
  <c r="F374" i="2" a="1"/>
  <c r="F374" i="2" s="1"/>
  <c r="F375" i="2" a="1"/>
  <c r="F375" i="2" s="1"/>
  <c r="F376" i="2" a="1"/>
  <c r="F376" i="2" s="1"/>
  <c r="F377" i="2" a="1"/>
  <c r="F377" i="2" s="1"/>
  <c r="F378" i="2" a="1"/>
  <c r="F378" i="2" s="1"/>
  <c r="F379" i="2" a="1"/>
  <c r="F379" i="2" s="1"/>
  <c r="F380" i="2" a="1"/>
  <c r="F380" i="2" s="1"/>
  <c r="F381" i="2" a="1"/>
  <c r="F381" i="2" s="1"/>
  <c r="F382" i="2" a="1"/>
  <c r="F382" i="2" s="1"/>
  <c r="F383" i="2" a="1"/>
  <c r="F383" i="2" s="1"/>
  <c r="F384" i="2" a="1"/>
  <c r="F384" i="2" s="1"/>
  <c r="F385" i="2" a="1"/>
  <c r="F385" i="2" s="1"/>
  <c r="F386" i="2" a="1"/>
  <c r="F386" i="2" s="1"/>
  <c r="F387" i="2" a="1"/>
  <c r="F387" i="2" s="1"/>
  <c r="F388" i="2" a="1"/>
  <c r="F388" i="2" s="1"/>
  <c r="F389" i="2" a="1"/>
  <c r="F389" i="2" s="1"/>
  <c r="F390" i="2" a="1"/>
  <c r="F390" i="2" s="1"/>
  <c r="F391" i="2" a="1"/>
  <c r="F391" i="2" s="1"/>
  <c r="F392" i="2" a="1"/>
  <c r="F392" i="2" s="1"/>
  <c r="F393" i="2" a="1"/>
  <c r="F393" i="2" s="1"/>
  <c r="F394" i="2" a="1"/>
  <c r="F394" i="2" s="1"/>
  <c r="F395" i="2" a="1"/>
  <c r="F395" i="2" s="1"/>
  <c r="F396" i="2" a="1"/>
  <c r="F396" i="2" s="1"/>
  <c r="F397" i="2" a="1"/>
  <c r="F397" i="2" s="1"/>
  <c r="F398" i="2" a="1"/>
  <c r="F398" i="2" s="1"/>
  <c r="F399" i="2" a="1"/>
  <c r="F399" i="2" s="1"/>
  <c r="F400" i="2" a="1"/>
  <c r="F400" i="2" s="1"/>
  <c r="F401" i="2" a="1"/>
  <c r="F401" i="2" s="1"/>
  <c r="F402" i="2" a="1"/>
  <c r="F402" i="2" s="1"/>
  <c r="F403" i="2" a="1"/>
  <c r="F403" i="2" s="1"/>
  <c r="F404" i="2" a="1"/>
  <c r="F404" i="2" s="1"/>
  <c r="F405" i="2" a="1"/>
  <c r="F405" i="2" s="1"/>
  <c r="F406" i="2" a="1"/>
  <c r="F406" i="2" s="1"/>
  <c r="F407" i="2" a="1"/>
  <c r="F407" i="2" s="1"/>
  <c r="F408" i="2" a="1"/>
  <c r="F408" i="2" s="1"/>
  <c r="F409" i="2" a="1"/>
  <c r="F409" i="2" s="1"/>
  <c r="F410" i="2" a="1"/>
  <c r="F410" i="2" s="1"/>
  <c r="F411" i="2" a="1"/>
  <c r="F411" i="2" s="1"/>
  <c r="F412" i="2" a="1"/>
  <c r="F412" i="2" s="1"/>
  <c r="F413" i="2" a="1"/>
  <c r="F413" i="2" s="1"/>
  <c r="F414" i="2" a="1"/>
  <c r="F414" i="2" s="1"/>
  <c r="F415" i="2" a="1"/>
  <c r="F415" i="2" s="1"/>
  <c r="F416" i="2" a="1"/>
  <c r="F416" i="2" s="1"/>
  <c r="F417" i="2" a="1"/>
  <c r="F417" i="2" s="1"/>
  <c r="F418" i="2" a="1"/>
  <c r="F418" i="2" s="1"/>
  <c r="F419" i="2" a="1"/>
  <c r="F419" i="2" s="1"/>
  <c r="F420" i="2" a="1"/>
  <c r="F420" i="2" s="1"/>
  <c r="F421" i="2" a="1"/>
  <c r="F421" i="2" s="1"/>
  <c r="F422" i="2" a="1"/>
  <c r="F422" i="2" s="1"/>
  <c r="F423" i="2" a="1"/>
  <c r="F423" i="2" s="1"/>
  <c r="F424" i="2" a="1"/>
  <c r="F424" i="2" s="1"/>
  <c r="F425" i="2" a="1"/>
  <c r="F425" i="2" s="1"/>
  <c r="F426" i="2" a="1"/>
  <c r="F426" i="2" s="1"/>
  <c r="F427" i="2" a="1"/>
  <c r="F427" i="2" s="1"/>
  <c r="F428" i="2" a="1"/>
  <c r="F428" i="2" s="1"/>
  <c r="F429" i="2" a="1"/>
  <c r="F429" i="2" s="1"/>
  <c r="F430" i="2" a="1"/>
  <c r="F430" i="2" s="1"/>
  <c r="F431" i="2" a="1"/>
  <c r="F431" i="2" s="1"/>
  <c r="F432" i="2" a="1"/>
  <c r="F432" i="2" s="1"/>
  <c r="F433" i="2" a="1"/>
  <c r="F433" i="2" s="1"/>
  <c r="F434" i="2" a="1"/>
  <c r="F434" i="2" s="1"/>
  <c r="F435" i="2" a="1"/>
  <c r="F435" i="2" s="1"/>
  <c r="F436" i="2" a="1"/>
  <c r="F436" i="2" s="1"/>
  <c r="F437" i="2" a="1"/>
  <c r="F437" i="2" s="1"/>
  <c r="F438" i="2" a="1"/>
  <c r="F438" i="2" s="1"/>
  <c r="F439" i="2" a="1"/>
  <c r="F439" i="2" s="1"/>
  <c r="F440" i="2" a="1"/>
  <c r="F440" i="2" s="1"/>
  <c r="F441" i="2" a="1"/>
  <c r="F441" i="2" s="1"/>
  <c r="F442" i="2" a="1"/>
  <c r="F442" i="2" s="1"/>
  <c r="F443" i="2" a="1"/>
  <c r="F443" i="2" s="1"/>
  <c r="F444" i="2" a="1"/>
  <c r="F444" i="2" s="1"/>
  <c r="F445" i="2" a="1"/>
  <c r="F445" i="2" s="1"/>
  <c r="F446" i="2" a="1"/>
  <c r="F446" i="2" s="1"/>
  <c r="F447" i="2" a="1"/>
  <c r="F447" i="2" s="1"/>
  <c r="F448" i="2" a="1"/>
  <c r="F448" i="2" s="1"/>
  <c r="F449" i="2" a="1"/>
  <c r="F449" i="2" s="1"/>
  <c r="F450" i="2" a="1"/>
  <c r="F450" i="2" s="1"/>
  <c r="F451" i="2" a="1"/>
  <c r="F451" i="2" s="1"/>
  <c r="F452" i="2" a="1"/>
  <c r="F452" i="2" s="1"/>
  <c r="F453" i="2" a="1"/>
  <c r="F453" i="2" s="1"/>
  <c r="F454" i="2" a="1"/>
  <c r="F454" i="2" s="1"/>
  <c r="F455" i="2" a="1"/>
  <c r="F455" i="2" s="1"/>
  <c r="F456" i="2" a="1"/>
  <c r="F456" i="2" s="1"/>
  <c r="F457" i="2" a="1"/>
  <c r="F457" i="2" s="1"/>
  <c r="F458" i="2" a="1"/>
  <c r="F458" i="2" s="1"/>
  <c r="F459" i="2" a="1"/>
  <c r="F459" i="2" s="1"/>
  <c r="F460" i="2" a="1"/>
  <c r="F460" i="2" s="1"/>
  <c r="F461" i="2" a="1"/>
  <c r="F461" i="2" s="1"/>
  <c r="F462" i="2" a="1"/>
  <c r="F462" i="2" s="1"/>
  <c r="F463" i="2" a="1"/>
  <c r="F463" i="2" s="1"/>
  <c r="F464" i="2" a="1"/>
  <c r="F464" i="2" s="1"/>
  <c r="F465" i="2" a="1"/>
  <c r="F465" i="2" s="1"/>
  <c r="F466" i="2" a="1"/>
  <c r="F466" i="2" s="1"/>
  <c r="F467" i="2" a="1"/>
  <c r="F467" i="2" s="1"/>
  <c r="F468" i="2" a="1"/>
  <c r="F468" i="2" s="1"/>
  <c r="F469" i="2" a="1"/>
  <c r="F469" i="2" s="1"/>
  <c r="F470" i="2" a="1"/>
  <c r="F470" i="2" s="1"/>
  <c r="F471" i="2" a="1"/>
  <c r="F471" i="2" s="1"/>
  <c r="F472" i="2" a="1"/>
  <c r="F472" i="2" s="1"/>
  <c r="F473" i="2" a="1"/>
  <c r="F473" i="2" s="1"/>
  <c r="F474" i="2" a="1"/>
  <c r="F474" i="2" s="1"/>
  <c r="F475" i="2" a="1"/>
  <c r="F475" i="2" s="1"/>
  <c r="F476" i="2" a="1"/>
  <c r="F476" i="2" s="1"/>
  <c r="F477" i="2" a="1"/>
  <c r="F477" i="2" s="1"/>
  <c r="F478" i="2" a="1"/>
  <c r="F478" i="2" s="1"/>
  <c r="F479" i="2" a="1"/>
  <c r="F479" i="2" s="1"/>
  <c r="F480" i="2" a="1"/>
  <c r="F480" i="2" s="1"/>
  <c r="F481" i="2" a="1"/>
  <c r="F481" i="2" s="1"/>
  <c r="F482" i="2" a="1"/>
  <c r="F482" i="2" s="1"/>
  <c r="F483" i="2" a="1"/>
  <c r="F483" i="2" s="1"/>
  <c r="F484" i="2" a="1"/>
  <c r="F484" i="2" s="1"/>
  <c r="F485" i="2" a="1"/>
  <c r="F485" i="2" s="1"/>
  <c r="F486" i="2" a="1"/>
  <c r="F486" i="2" s="1"/>
  <c r="F487" i="2" a="1"/>
  <c r="F487" i="2" s="1"/>
  <c r="F488" i="2" a="1"/>
  <c r="F488" i="2" s="1"/>
  <c r="F489" i="2" a="1"/>
  <c r="F489" i="2" s="1"/>
  <c r="F490" i="2" a="1"/>
  <c r="F490" i="2" s="1"/>
  <c r="F491" i="2" a="1"/>
  <c r="F491" i="2" s="1"/>
  <c r="F492" i="2" a="1"/>
  <c r="F492" i="2" s="1"/>
  <c r="F493" i="2" a="1"/>
  <c r="F493" i="2" s="1"/>
  <c r="F494" i="2" a="1"/>
  <c r="F494" i="2" s="1"/>
  <c r="F495" i="2" a="1"/>
  <c r="F495" i="2" s="1"/>
  <c r="F496" i="2" a="1"/>
  <c r="F496" i="2" s="1"/>
  <c r="F497" i="2" a="1"/>
  <c r="F497" i="2" s="1"/>
  <c r="F498" i="2" a="1"/>
  <c r="F498" i="2" s="1"/>
  <c r="F499" i="2" a="1"/>
  <c r="F499" i="2" s="1"/>
  <c r="F500" i="2" a="1"/>
  <c r="F500" i="2" s="1"/>
  <c r="F501" i="2" a="1"/>
  <c r="F501" i="2" s="1"/>
  <c r="F502" i="2" a="1"/>
  <c r="F502" i="2" s="1"/>
  <c r="F503" i="2" a="1"/>
  <c r="F503" i="2" s="1"/>
  <c r="F504" i="2" a="1"/>
  <c r="F504" i="2" s="1"/>
  <c r="F505" i="2" a="1"/>
  <c r="F505" i="2" s="1"/>
  <c r="F506" i="2" a="1"/>
  <c r="F506" i="2" s="1"/>
  <c r="F507" i="2" a="1"/>
  <c r="F507" i="2" s="1"/>
  <c r="F508" i="2" a="1"/>
  <c r="F508" i="2" s="1"/>
  <c r="F509" i="2" a="1"/>
  <c r="F509" i="2" s="1"/>
  <c r="F510" i="2" a="1"/>
  <c r="F510" i="2" s="1"/>
  <c r="F511" i="2" a="1"/>
  <c r="F511" i="2" s="1"/>
  <c r="F512" i="2" a="1"/>
  <c r="F512" i="2" s="1"/>
  <c r="F513" i="2" a="1"/>
  <c r="F513" i="2" s="1"/>
  <c r="F514" i="2" a="1"/>
  <c r="F514" i="2" s="1"/>
  <c r="F515" i="2" a="1"/>
  <c r="F515" i="2" s="1"/>
  <c r="F516" i="2" a="1"/>
  <c r="F516" i="2" s="1"/>
  <c r="F517" i="2" a="1"/>
  <c r="F517" i="2" s="1"/>
  <c r="F518" i="2" a="1"/>
  <c r="F518" i="2" s="1"/>
  <c r="F519" i="2" a="1"/>
  <c r="F519" i="2" s="1"/>
  <c r="F520" i="2" a="1"/>
  <c r="F520" i="2" s="1"/>
  <c r="F521" i="2" a="1"/>
  <c r="F521" i="2" s="1"/>
  <c r="F522" i="2" a="1"/>
  <c r="F522" i="2" s="1"/>
  <c r="F523" i="2" a="1"/>
  <c r="F523" i="2" s="1"/>
  <c r="F524" i="2" a="1"/>
  <c r="F524" i="2" s="1"/>
  <c r="F525" i="2" a="1"/>
  <c r="F525" i="2" s="1"/>
  <c r="F526" i="2" a="1"/>
  <c r="F526" i="2" s="1"/>
  <c r="F527" i="2" a="1"/>
  <c r="F527" i="2" s="1"/>
  <c r="F528" i="2" a="1"/>
  <c r="F528" i="2" s="1"/>
  <c r="F529" i="2" a="1"/>
  <c r="F529" i="2" s="1"/>
  <c r="F530" i="2" a="1"/>
  <c r="F530" i="2" s="1"/>
  <c r="F531" i="2" a="1"/>
  <c r="F531" i="2" s="1"/>
  <c r="G3" i="2" a="1"/>
  <c r="G3" i="2" s="1"/>
  <c r="G4" i="2" a="1"/>
  <c r="G4" i="2" s="1"/>
  <c r="G5" i="2" a="1"/>
  <c r="G5" i="2" s="1"/>
  <c r="G6" i="2" a="1"/>
  <c r="G6" i="2" s="1"/>
  <c r="G7" i="2" a="1"/>
  <c r="G7" i="2" s="1"/>
  <c r="G8" i="2" a="1"/>
  <c r="G8" i="2" s="1"/>
  <c r="G9" i="2" a="1"/>
  <c r="G9" i="2" s="1"/>
  <c r="G10" i="2" a="1"/>
  <c r="G10" i="2" s="1"/>
  <c r="G11" i="2" a="1"/>
  <c r="G11" i="2" s="1"/>
  <c r="G12" i="2" a="1"/>
  <c r="G12" i="2" s="1"/>
  <c r="G13" i="2" a="1"/>
  <c r="G13" i="2" s="1"/>
  <c r="G14" i="2" a="1"/>
  <c r="G14" i="2" s="1"/>
  <c r="G15" i="2" a="1"/>
  <c r="G15" i="2" s="1"/>
  <c r="G16" i="2" a="1"/>
  <c r="G16" i="2" s="1"/>
  <c r="G17" i="2" a="1"/>
  <c r="G17" i="2" s="1"/>
  <c r="G18" i="2" a="1"/>
  <c r="G18" i="2" s="1"/>
  <c r="G19" i="2" a="1"/>
  <c r="G19" i="2" s="1"/>
  <c r="G20" i="2" a="1"/>
  <c r="G20" i="2" s="1"/>
  <c r="G21" i="2" a="1"/>
  <c r="G21" i="2" s="1"/>
  <c r="G22" i="2" a="1"/>
  <c r="G22" i="2" s="1"/>
  <c r="G23" i="2" a="1"/>
  <c r="G23" i="2" s="1"/>
  <c r="G24" i="2" a="1"/>
  <c r="G24" i="2" s="1"/>
  <c r="G25" i="2" a="1"/>
  <c r="G25" i="2" s="1"/>
  <c r="G26" i="2" a="1"/>
  <c r="G26" i="2" s="1"/>
  <c r="G27" i="2" a="1"/>
  <c r="G27" i="2" s="1"/>
  <c r="G28" i="2" a="1"/>
  <c r="G28" i="2" s="1"/>
  <c r="G29" i="2" a="1"/>
  <c r="G29" i="2" s="1"/>
  <c r="G30" i="2" a="1"/>
  <c r="G30" i="2" s="1"/>
  <c r="G31" i="2" a="1"/>
  <c r="G31" i="2" s="1"/>
  <c r="G32" i="2" a="1"/>
  <c r="G32" i="2" s="1"/>
  <c r="G33" i="2" a="1"/>
  <c r="G33" i="2" s="1"/>
  <c r="G34" i="2" a="1"/>
  <c r="G34" i="2" s="1"/>
  <c r="G35" i="2" a="1"/>
  <c r="G35" i="2" s="1"/>
  <c r="G36" i="2" a="1"/>
  <c r="G36" i="2" s="1"/>
  <c r="G37" i="2" a="1"/>
  <c r="G37" i="2" s="1"/>
  <c r="G38" i="2" a="1"/>
  <c r="G38" i="2" s="1"/>
  <c r="G39" i="2" a="1"/>
  <c r="G39" i="2" s="1"/>
  <c r="G40" i="2" a="1"/>
  <c r="G40" i="2" s="1"/>
  <c r="G41" i="2" a="1"/>
  <c r="G41" i="2" s="1"/>
  <c r="G42" i="2" a="1"/>
  <c r="G42" i="2" s="1"/>
  <c r="G43" i="2" a="1"/>
  <c r="G43" i="2" s="1"/>
  <c r="G44" i="2" a="1"/>
  <c r="G44" i="2" s="1"/>
  <c r="G45" i="2" a="1"/>
  <c r="G45" i="2" s="1"/>
  <c r="G46" i="2" a="1"/>
  <c r="G46" i="2" s="1"/>
  <c r="G47" i="2" a="1"/>
  <c r="G47" i="2" s="1"/>
  <c r="G48" i="2" a="1"/>
  <c r="G48" i="2" s="1"/>
  <c r="G49" i="2" a="1"/>
  <c r="G49" i="2" s="1"/>
  <c r="G50" i="2" a="1"/>
  <c r="G50" i="2" s="1"/>
  <c r="G51" i="2" a="1"/>
  <c r="G51" i="2" s="1"/>
  <c r="G52" i="2" a="1"/>
  <c r="G52" i="2" s="1"/>
  <c r="G53" i="2" a="1"/>
  <c r="G53" i="2" s="1"/>
  <c r="G54" i="2" a="1"/>
  <c r="G54" i="2" s="1"/>
  <c r="G55" i="2" a="1"/>
  <c r="G55" i="2" s="1"/>
  <c r="G56" i="2" a="1"/>
  <c r="G56" i="2" s="1"/>
  <c r="G57" i="2" a="1"/>
  <c r="G57" i="2" s="1"/>
  <c r="G58" i="2" a="1"/>
  <c r="G58" i="2" s="1"/>
  <c r="G59" i="2" a="1"/>
  <c r="G59" i="2" s="1"/>
  <c r="G60" i="2" a="1"/>
  <c r="G60" i="2" s="1"/>
  <c r="G61" i="2" a="1"/>
  <c r="G61" i="2" s="1"/>
  <c r="G62" i="2" a="1"/>
  <c r="G62" i="2" s="1"/>
  <c r="G63" i="2" a="1"/>
  <c r="G63" i="2" s="1"/>
  <c r="G64" i="2" a="1"/>
  <c r="G64" i="2" s="1"/>
  <c r="G65" i="2" a="1"/>
  <c r="G65" i="2" s="1"/>
  <c r="G66" i="2" a="1"/>
  <c r="G66" i="2" s="1"/>
  <c r="G67" i="2" a="1"/>
  <c r="G67" i="2" s="1"/>
  <c r="G68" i="2" a="1"/>
  <c r="G68" i="2" s="1"/>
  <c r="G69" i="2" a="1"/>
  <c r="G69" i="2" s="1"/>
  <c r="G70" i="2" a="1"/>
  <c r="G70" i="2" s="1"/>
  <c r="G71" i="2" a="1"/>
  <c r="G71" i="2" s="1"/>
  <c r="G72" i="2" a="1"/>
  <c r="G72" i="2" s="1"/>
  <c r="G73" i="2" a="1"/>
  <c r="G73" i="2" s="1"/>
  <c r="G74" i="2" a="1"/>
  <c r="G74" i="2" s="1"/>
  <c r="G75" i="2" a="1"/>
  <c r="G75" i="2" s="1"/>
  <c r="G76" i="2" a="1"/>
  <c r="G76" i="2" s="1"/>
  <c r="G77" i="2" a="1"/>
  <c r="G77" i="2" s="1"/>
  <c r="G78" i="2" a="1"/>
  <c r="G78" i="2" s="1"/>
  <c r="G79" i="2" a="1"/>
  <c r="G79" i="2" s="1"/>
  <c r="G80" i="2" a="1"/>
  <c r="G80" i="2" s="1"/>
  <c r="G81" i="2" a="1"/>
  <c r="G81" i="2" s="1"/>
  <c r="G82" i="2" a="1"/>
  <c r="G82" i="2" s="1"/>
  <c r="G83" i="2" a="1"/>
  <c r="G83" i="2" s="1"/>
  <c r="G84" i="2" a="1"/>
  <c r="G84" i="2" s="1"/>
  <c r="G85" i="2" a="1"/>
  <c r="G85" i="2" s="1"/>
  <c r="G86" i="2" a="1"/>
  <c r="G86" i="2" s="1"/>
  <c r="G87" i="2" a="1"/>
  <c r="G87" i="2" s="1"/>
  <c r="G88" i="2" a="1"/>
  <c r="G88" i="2" s="1"/>
  <c r="G89" i="2" a="1"/>
  <c r="G89" i="2" s="1"/>
  <c r="G90" i="2" a="1"/>
  <c r="G90" i="2" s="1"/>
  <c r="G91" i="2" a="1"/>
  <c r="G91" i="2" s="1"/>
  <c r="G92" i="2" a="1"/>
  <c r="G92" i="2" s="1"/>
  <c r="G93" i="2" a="1"/>
  <c r="G93" i="2" s="1"/>
  <c r="G94" i="2" a="1"/>
  <c r="G94" i="2" s="1"/>
  <c r="G95" i="2" a="1"/>
  <c r="G95" i="2" s="1"/>
  <c r="G96" i="2" a="1"/>
  <c r="G96" i="2" s="1"/>
  <c r="G97" i="2" a="1"/>
  <c r="G97" i="2" s="1"/>
  <c r="G98" i="2" a="1"/>
  <c r="G98" i="2" s="1"/>
  <c r="G99" i="2" a="1"/>
  <c r="G99" i="2" s="1"/>
  <c r="G100" i="2" a="1"/>
  <c r="G100" i="2" s="1"/>
  <c r="G101" i="2" a="1"/>
  <c r="G101" i="2" s="1"/>
  <c r="G102" i="2" a="1"/>
  <c r="G102" i="2" s="1"/>
  <c r="G103" i="2" a="1"/>
  <c r="G103" i="2" s="1"/>
  <c r="G104" i="2" a="1"/>
  <c r="G104" i="2" s="1"/>
  <c r="G105" i="2" a="1"/>
  <c r="G105" i="2" s="1"/>
  <c r="G106" i="2" a="1"/>
  <c r="G106" i="2" s="1"/>
  <c r="G107" i="2" a="1"/>
  <c r="G107" i="2" s="1"/>
  <c r="G108" i="2" a="1"/>
  <c r="G108" i="2" s="1"/>
  <c r="G109" i="2" a="1"/>
  <c r="G109" i="2" s="1"/>
  <c r="G110" i="2" a="1"/>
  <c r="G110" i="2" s="1"/>
  <c r="G111" i="2" a="1"/>
  <c r="G111" i="2" s="1"/>
  <c r="G112" i="2" a="1"/>
  <c r="G112" i="2" s="1"/>
  <c r="G113" i="2" a="1"/>
  <c r="G113" i="2" s="1"/>
  <c r="G114" i="2" a="1"/>
  <c r="G114" i="2" s="1"/>
  <c r="G115" i="2" a="1"/>
  <c r="G115" i="2" s="1"/>
  <c r="G116" i="2" a="1"/>
  <c r="G116" i="2" s="1"/>
  <c r="G117" i="2" a="1"/>
  <c r="G117" i="2" s="1"/>
  <c r="G118" i="2" a="1"/>
  <c r="G118" i="2" s="1"/>
  <c r="G119" i="2" a="1"/>
  <c r="G119" i="2" s="1"/>
  <c r="G120" i="2" a="1"/>
  <c r="G120" i="2" s="1"/>
  <c r="G121" i="2" a="1"/>
  <c r="G121" i="2" s="1"/>
  <c r="G122" i="2" a="1"/>
  <c r="G122" i="2" s="1"/>
  <c r="G123" i="2" a="1"/>
  <c r="G123" i="2" s="1"/>
  <c r="G124" i="2" a="1"/>
  <c r="G124" i="2" s="1"/>
  <c r="G125" i="2" a="1"/>
  <c r="G125" i="2" s="1"/>
  <c r="G126" i="2" a="1"/>
  <c r="G126" i="2" s="1"/>
  <c r="G127" i="2" a="1"/>
  <c r="G127" i="2" s="1"/>
  <c r="G128" i="2" a="1"/>
  <c r="G128" i="2" s="1"/>
  <c r="G129" i="2" a="1"/>
  <c r="G129" i="2" s="1"/>
  <c r="G130" i="2" a="1"/>
  <c r="G130" i="2" s="1"/>
  <c r="G131" i="2" a="1"/>
  <c r="G131" i="2" s="1"/>
  <c r="G132" i="2" a="1"/>
  <c r="G132" i="2" s="1"/>
  <c r="G133" i="2" a="1"/>
  <c r="G133" i="2" s="1"/>
  <c r="G134" i="2" a="1"/>
  <c r="G134" i="2" s="1"/>
  <c r="G135" i="2" a="1"/>
  <c r="G135" i="2" s="1"/>
  <c r="G136" i="2" a="1"/>
  <c r="G136" i="2" s="1"/>
  <c r="G137" i="2" a="1"/>
  <c r="G137" i="2" s="1"/>
  <c r="G138" i="2" a="1"/>
  <c r="G138" i="2" s="1"/>
  <c r="G139" i="2" a="1"/>
  <c r="G139" i="2" s="1"/>
  <c r="G140" i="2" a="1"/>
  <c r="G140" i="2" s="1"/>
  <c r="G141" i="2" a="1"/>
  <c r="G141" i="2" s="1"/>
  <c r="G142" i="2" a="1"/>
  <c r="G142" i="2" s="1"/>
  <c r="G143" i="2" a="1"/>
  <c r="G143" i="2" s="1"/>
  <c r="G144" i="2" a="1"/>
  <c r="G144" i="2" s="1"/>
  <c r="G145" i="2" a="1"/>
  <c r="G145" i="2" s="1"/>
  <c r="G146" i="2" a="1"/>
  <c r="G146" i="2" s="1"/>
  <c r="G147" i="2" a="1"/>
  <c r="G147" i="2" s="1"/>
  <c r="G148" i="2" a="1"/>
  <c r="G148" i="2" s="1"/>
  <c r="G149" i="2" a="1"/>
  <c r="G149" i="2" s="1"/>
  <c r="G150" i="2" a="1"/>
  <c r="G150" i="2" s="1"/>
  <c r="G151" i="2" a="1"/>
  <c r="G151" i="2" s="1"/>
  <c r="G152" i="2" a="1"/>
  <c r="G152" i="2" s="1"/>
  <c r="G153" i="2" a="1"/>
  <c r="G153" i="2" s="1"/>
  <c r="G154" i="2" a="1"/>
  <c r="G154" i="2" s="1"/>
  <c r="G155" i="2" a="1"/>
  <c r="G155" i="2" s="1"/>
  <c r="G156" i="2" a="1"/>
  <c r="G156" i="2" s="1"/>
  <c r="G157" i="2" a="1"/>
  <c r="G157" i="2" s="1"/>
  <c r="G158" i="2" a="1"/>
  <c r="G158" i="2" s="1"/>
  <c r="G159" i="2" a="1"/>
  <c r="G159" i="2" s="1"/>
  <c r="G160" i="2" a="1"/>
  <c r="G160" i="2" s="1"/>
  <c r="G161" i="2" a="1"/>
  <c r="G161" i="2" s="1"/>
  <c r="G162" i="2" a="1"/>
  <c r="G162" i="2" s="1"/>
  <c r="G163" i="2" a="1"/>
  <c r="G163" i="2" s="1"/>
  <c r="G164" i="2" a="1"/>
  <c r="G164" i="2" s="1"/>
  <c r="G165" i="2" a="1"/>
  <c r="G165" i="2" s="1"/>
  <c r="G166" i="2" a="1"/>
  <c r="G166" i="2" s="1"/>
  <c r="G167" i="2" a="1"/>
  <c r="G167" i="2" s="1"/>
  <c r="G168" i="2" a="1"/>
  <c r="G168" i="2" s="1"/>
  <c r="G169" i="2" a="1"/>
  <c r="G169" i="2" s="1"/>
  <c r="G170" i="2" a="1"/>
  <c r="G170" i="2" s="1"/>
  <c r="G171" i="2" a="1"/>
  <c r="G171" i="2" s="1"/>
  <c r="G172" i="2" a="1"/>
  <c r="G172" i="2" s="1"/>
  <c r="G173" i="2" a="1"/>
  <c r="G173" i="2" s="1"/>
  <c r="G174" i="2" a="1"/>
  <c r="G174" i="2" s="1"/>
  <c r="G175" i="2" a="1"/>
  <c r="G175" i="2" s="1"/>
  <c r="G176" i="2" a="1"/>
  <c r="G176" i="2" s="1"/>
  <c r="G177" i="2" a="1"/>
  <c r="G177" i="2" s="1"/>
  <c r="G178" i="2" a="1"/>
  <c r="G178" i="2" s="1"/>
  <c r="G179" i="2" a="1"/>
  <c r="G179" i="2" s="1"/>
  <c r="G180" i="2" a="1"/>
  <c r="G180" i="2" s="1"/>
  <c r="G181" i="2" a="1"/>
  <c r="G181" i="2" s="1"/>
  <c r="G182" i="2" a="1"/>
  <c r="G182" i="2" s="1"/>
  <c r="G183" i="2" a="1"/>
  <c r="G183" i="2" s="1"/>
  <c r="G184" i="2" a="1"/>
  <c r="G184" i="2" s="1"/>
  <c r="G185" i="2" a="1"/>
  <c r="G185" i="2" s="1"/>
  <c r="G186" i="2" a="1"/>
  <c r="G186" i="2" s="1"/>
  <c r="G187" i="2" a="1"/>
  <c r="G187" i="2" s="1"/>
  <c r="G188" i="2" a="1"/>
  <c r="G188" i="2" s="1"/>
  <c r="G189" i="2" a="1"/>
  <c r="G189" i="2" s="1"/>
  <c r="G190" i="2" a="1"/>
  <c r="G190" i="2" s="1"/>
  <c r="G191" i="2" a="1"/>
  <c r="G191" i="2" s="1"/>
  <c r="G192" i="2" a="1"/>
  <c r="G192" i="2" s="1"/>
  <c r="G193" i="2" a="1"/>
  <c r="G193" i="2" s="1"/>
  <c r="G194" i="2" a="1"/>
  <c r="G194" i="2" s="1"/>
  <c r="G195" i="2" a="1"/>
  <c r="G195" i="2" s="1"/>
  <c r="G196" i="2" a="1"/>
  <c r="G196" i="2" s="1"/>
  <c r="G197" i="2" a="1"/>
  <c r="G197" i="2" s="1"/>
  <c r="G198" i="2" a="1"/>
  <c r="G198" i="2" s="1"/>
  <c r="G199" i="2" a="1"/>
  <c r="G199" i="2" s="1"/>
  <c r="G200" i="2" a="1"/>
  <c r="G200" i="2" s="1"/>
  <c r="G201" i="2" a="1"/>
  <c r="G201" i="2" s="1"/>
  <c r="G202" i="2" a="1"/>
  <c r="G202" i="2" s="1"/>
  <c r="G203" i="2" a="1"/>
  <c r="G203" i="2" s="1"/>
  <c r="G204" i="2" a="1"/>
  <c r="G204" i="2" s="1"/>
  <c r="G205" i="2" a="1"/>
  <c r="G205" i="2" s="1"/>
  <c r="G206" i="2" a="1"/>
  <c r="G206" i="2" s="1"/>
  <c r="G207" i="2" a="1"/>
  <c r="G207" i="2" s="1"/>
  <c r="G208" i="2" a="1"/>
  <c r="G208" i="2" s="1"/>
  <c r="G209" i="2" a="1"/>
  <c r="G209" i="2" s="1"/>
  <c r="G210" i="2" a="1"/>
  <c r="G210" i="2" s="1"/>
  <c r="G211" i="2" a="1"/>
  <c r="G211" i="2" s="1"/>
  <c r="G212" i="2" a="1"/>
  <c r="G212" i="2" s="1"/>
  <c r="G213" i="2" a="1"/>
  <c r="G213" i="2" s="1"/>
  <c r="G214" i="2" a="1"/>
  <c r="G214" i="2" s="1"/>
  <c r="G215" i="2" a="1"/>
  <c r="G215" i="2" s="1"/>
  <c r="G216" i="2" a="1"/>
  <c r="G216" i="2" s="1"/>
  <c r="G217" i="2" a="1"/>
  <c r="G217" i="2" s="1"/>
  <c r="G218" i="2" a="1"/>
  <c r="G218" i="2" s="1"/>
  <c r="G219" i="2" a="1"/>
  <c r="G219" i="2" s="1"/>
  <c r="G220" i="2" a="1"/>
  <c r="G220" i="2" s="1"/>
  <c r="G221" i="2" a="1"/>
  <c r="G221" i="2" s="1"/>
  <c r="G222" i="2" a="1"/>
  <c r="G222" i="2" s="1"/>
  <c r="G223" i="2" a="1"/>
  <c r="G223" i="2" s="1"/>
  <c r="G224" i="2" a="1"/>
  <c r="G224" i="2" s="1"/>
  <c r="G225" i="2" a="1"/>
  <c r="G225" i="2" s="1"/>
  <c r="G226" i="2" a="1"/>
  <c r="G226" i="2" s="1"/>
  <c r="G227" i="2" a="1"/>
  <c r="G227" i="2" s="1"/>
  <c r="G228" i="2" a="1"/>
  <c r="G228" i="2" s="1"/>
  <c r="G229" i="2" a="1"/>
  <c r="G229" i="2" s="1"/>
  <c r="G230" i="2" a="1"/>
  <c r="G230" i="2" s="1"/>
  <c r="G231" i="2" a="1"/>
  <c r="G231" i="2" s="1"/>
  <c r="G232" i="2" a="1"/>
  <c r="G232" i="2" s="1"/>
  <c r="G233" i="2" a="1"/>
  <c r="G233" i="2" s="1"/>
  <c r="G234" i="2" a="1"/>
  <c r="G234" i="2" s="1"/>
  <c r="G235" i="2" a="1"/>
  <c r="G235" i="2" s="1"/>
  <c r="G236" i="2" a="1"/>
  <c r="G236" i="2" s="1"/>
  <c r="G237" i="2" a="1"/>
  <c r="G237" i="2" s="1"/>
  <c r="G238" i="2" a="1"/>
  <c r="G238" i="2" s="1"/>
  <c r="G239" i="2" a="1"/>
  <c r="G239" i="2" s="1"/>
  <c r="G240" i="2" a="1"/>
  <c r="G240" i="2" s="1"/>
  <c r="G241" i="2" a="1"/>
  <c r="G241" i="2" s="1"/>
  <c r="G242" i="2" a="1"/>
  <c r="G242" i="2" s="1"/>
  <c r="G243" i="2" a="1"/>
  <c r="G243" i="2" s="1"/>
  <c r="G244" i="2" a="1"/>
  <c r="G244" i="2" s="1"/>
  <c r="G245" i="2" a="1"/>
  <c r="G245" i="2" s="1"/>
  <c r="G246" i="2" a="1"/>
  <c r="G246" i="2" s="1"/>
  <c r="G247" i="2" a="1"/>
  <c r="G247" i="2" s="1"/>
  <c r="G248" i="2" a="1"/>
  <c r="G248" i="2" s="1"/>
  <c r="G249" i="2" a="1"/>
  <c r="G249" i="2" s="1"/>
  <c r="G250" i="2" a="1"/>
  <c r="G250" i="2" s="1"/>
  <c r="G251" i="2" a="1"/>
  <c r="G251" i="2" s="1"/>
  <c r="G252" i="2" a="1"/>
  <c r="G252" i="2" s="1"/>
  <c r="G253" i="2" a="1"/>
  <c r="G253" i="2" s="1"/>
  <c r="G254" i="2" a="1"/>
  <c r="G254" i="2" s="1"/>
  <c r="G255" i="2" a="1"/>
  <c r="G255" i="2" s="1"/>
  <c r="G256" i="2" a="1"/>
  <c r="G256" i="2" s="1"/>
  <c r="G257" i="2" a="1"/>
  <c r="G257" i="2" s="1"/>
  <c r="G258" i="2" a="1"/>
  <c r="G258" i="2" s="1"/>
  <c r="G259" i="2" a="1"/>
  <c r="G259" i="2" s="1"/>
  <c r="G260" i="2" a="1"/>
  <c r="G260" i="2" s="1"/>
  <c r="G261" i="2" a="1"/>
  <c r="G261" i="2" s="1"/>
  <c r="G262" i="2" a="1"/>
  <c r="G262" i="2" s="1"/>
  <c r="G263" i="2" a="1"/>
  <c r="G263" i="2" s="1"/>
  <c r="G264" i="2" a="1"/>
  <c r="G264" i="2" s="1"/>
  <c r="G265" i="2" a="1"/>
  <c r="G265" i="2" s="1"/>
  <c r="G266" i="2" a="1"/>
  <c r="G266" i="2" s="1"/>
  <c r="G267" i="2" a="1"/>
  <c r="G267" i="2" s="1"/>
  <c r="G268" i="2" a="1"/>
  <c r="G268" i="2" s="1"/>
  <c r="G269" i="2" a="1"/>
  <c r="G269" i="2" s="1"/>
  <c r="G270" i="2" a="1"/>
  <c r="G270" i="2" s="1"/>
  <c r="G271" i="2" a="1"/>
  <c r="G271" i="2" s="1"/>
  <c r="G272" i="2" a="1"/>
  <c r="G272" i="2" s="1"/>
  <c r="G273" i="2" a="1"/>
  <c r="G273" i="2" s="1"/>
  <c r="G274" i="2" a="1"/>
  <c r="G274" i="2" s="1"/>
  <c r="G275" i="2" a="1"/>
  <c r="G275" i="2" s="1"/>
  <c r="G276" i="2" a="1"/>
  <c r="G276" i="2" s="1"/>
  <c r="G277" i="2" a="1"/>
  <c r="G277" i="2" s="1"/>
  <c r="G278" i="2" a="1"/>
  <c r="G278" i="2" s="1"/>
  <c r="G279" i="2" a="1"/>
  <c r="G279" i="2" s="1"/>
  <c r="G280" i="2" a="1"/>
  <c r="G280" i="2" s="1"/>
  <c r="G281" i="2" a="1"/>
  <c r="G281" i="2" s="1"/>
  <c r="G282" i="2" a="1"/>
  <c r="G282" i="2" s="1"/>
  <c r="G283" i="2" a="1"/>
  <c r="G283" i="2" s="1"/>
  <c r="G284" i="2" a="1"/>
  <c r="G284" i="2" s="1"/>
  <c r="G285" i="2" a="1"/>
  <c r="G285" i="2" s="1"/>
  <c r="G286" i="2" a="1"/>
  <c r="G286" i="2" s="1"/>
  <c r="G287" i="2" a="1"/>
  <c r="G287" i="2" s="1"/>
  <c r="G288" i="2" a="1"/>
  <c r="G288" i="2" s="1"/>
  <c r="G289" i="2" a="1"/>
  <c r="G289" i="2" s="1"/>
  <c r="G290" i="2" a="1"/>
  <c r="G290" i="2" s="1"/>
  <c r="G291" i="2" a="1"/>
  <c r="G291" i="2" s="1"/>
  <c r="G292" i="2" a="1"/>
  <c r="G292" i="2" s="1"/>
  <c r="G293" i="2" a="1"/>
  <c r="G293" i="2" s="1"/>
  <c r="G294" i="2" a="1"/>
  <c r="G294" i="2" s="1"/>
  <c r="G295" i="2" a="1"/>
  <c r="G295" i="2" s="1"/>
  <c r="G296" i="2" a="1"/>
  <c r="G296" i="2" s="1"/>
  <c r="G297" i="2" a="1"/>
  <c r="G297" i="2" s="1"/>
  <c r="G298" i="2" a="1"/>
  <c r="G298" i="2" s="1"/>
  <c r="G299" i="2" a="1"/>
  <c r="G299" i="2" s="1"/>
  <c r="G300" i="2" a="1"/>
  <c r="G300" i="2" s="1"/>
  <c r="G301" i="2" a="1"/>
  <c r="G301" i="2" s="1"/>
  <c r="G302" i="2" a="1"/>
  <c r="G302" i="2" s="1"/>
  <c r="G303" i="2" a="1"/>
  <c r="G303" i="2" s="1"/>
  <c r="G304" i="2" a="1"/>
  <c r="G304" i="2" s="1"/>
  <c r="G305" i="2" a="1"/>
  <c r="G305" i="2" s="1"/>
  <c r="G306" i="2" a="1"/>
  <c r="G306" i="2" s="1"/>
  <c r="G307" i="2" a="1"/>
  <c r="G307" i="2" s="1"/>
  <c r="G308" i="2" a="1"/>
  <c r="G308" i="2" s="1"/>
  <c r="G309" i="2" a="1"/>
  <c r="G309" i="2" s="1"/>
  <c r="G310" i="2" a="1"/>
  <c r="G310" i="2" s="1"/>
  <c r="G311" i="2" a="1"/>
  <c r="G311" i="2" s="1"/>
  <c r="G312" i="2" a="1"/>
  <c r="G312" i="2" s="1"/>
  <c r="G313" i="2" a="1"/>
  <c r="G313" i="2" s="1"/>
  <c r="G314" i="2" a="1"/>
  <c r="G314" i="2" s="1"/>
  <c r="G315" i="2" a="1"/>
  <c r="G315" i="2" s="1"/>
  <c r="G316" i="2" a="1"/>
  <c r="G316" i="2" s="1"/>
  <c r="G317" i="2" a="1"/>
  <c r="G317" i="2" s="1"/>
  <c r="G318" i="2" a="1"/>
  <c r="G318" i="2" s="1"/>
  <c r="G319" i="2" a="1"/>
  <c r="G319" i="2" s="1"/>
  <c r="G320" i="2" a="1"/>
  <c r="G320" i="2" s="1"/>
  <c r="G321" i="2" a="1"/>
  <c r="G321" i="2" s="1"/>
  <c r="G322" i="2" a="1"/>
  <c r="G322" i="2" s="1"/>
  <c r="G323" i="2" a="1"/>
  <c r="G323" i="2" s="1"/>
  <c r="G324" i="2" a="1"/>
  <c r="G324" i="2" s="1"/>
  <c r="G325" i="2" a="1"/>
  <c r="G325" i="2" s="1"/>
  <c r="G326" i="2" a="1"/>
  <c r="G326" i="2" s="1"/>
  <c r="G327" i="2" a="1"/>
  <c r="G327" i="2" s="1"/>
  <c r="G328" i="2" a="1"/>
  <c r="G328" i="2" s="1"/>
  <c r="G329" i="2" a="1"/>
  <c r="G329" i="2" s="1"/>
  <c r="G330" i="2" a="1"/>
  <c r="G330" i="2" s="1"/>
  <c r="G331" i="2" a="1"/>
  <c r="G331" i="2" s="1"/>
  <c r="G332" i="2" a="1"/>
  <c r="G332" i="2" s="1"/>
  <c r="G333" i="2" a="1"/>
  <c r="G333" i="2" s="1"/>
  <c r="G334" i="2" a="1"/>
  <c r="G334" i="2" s="1"/>
  <c r="G335" i="2" a="1"/>
  <c r="G335" i="2" s="1"/>
  <c r="G336" i="2" a="1"/>
  <c r="G336" i="2" s="1"/>
  <c r="G337" i="2" a="1"/>
  <c r="G337" i="2" s="1"/>
  <c r="G338" i="2" a="1"/>
  <c r="G338" i="2" s="1"/>
  <c r="G339" i="2" a="1"/>
  <c r="G339" i="2" s="1"/>
  <c r="G340" i="2" a="1"/>
  <c r="G340" i="2" s="1"/>
  <c r="G341" i="2" a="1"/>
  <c r="G341" i="2" s="1"/>
  <c r="G342" i="2" a="1"/>
  <c r="G342" i="2" s="1"/>
  <c r="G343" i="2" a="1"/>
  <c r="G343" i="2" s="1"/>
  <c r="G344" i="2" a="1"/>
  <c r="G344" i="2" s="1"/>
  <c r="G345" i="2" a="1"/>
  <c r="G345" i="2" s="1"/>
  <c r="G346" i="2" a="1"/>
  <c r="G346" i="2" s="1"/>
  <c r="G347" i="2" a="1"/>
  <c r="G347" i="2" s="1"/>
  <c r="G348" i="2" a="1"/>
  <c r="G348" i="2" s="1"/>
  <c r="G349" i="2" a="1"/>
  <c r="G349" i="2" s="1"/>
  <c r="G350" i="2" a="1"/>
  <c r="G350" i="2" s="1"/>
  <c r="G351" i="2" a="1"/>
  <c r="G351" i="2" s="1"/>
  <c r="G352" i="2" a="1"/>
  <c r="G352" i="2" s="1"/>
  <c r="G353" i="2" a="1"/>
  <c r="G353" i="2" s="1"/>
  <c r="G354" i="2" a="1"/>
  <c r="G354" i="2" s="1"/>
  <c r="G355" i="2" a="1"/>
  <c r="G355" i="2" s="1"/>
  <c r="G356" i="2" a="1"/>
  <c r="G356" i="2" s="1"/>
  <c r="G357" i="2" a="1"/>
  <c r="G357" i="2" s="1"/>
  <c r="G358" i="2" a="1"/>
  <c r="G358" i="2" s="1"/>
  <c r="G359" i="2" a="1"/>
  <c r="G359" i="2" s="1"/>
  <c r="G360" i="2" a="1"/>
  <c r="G360" i="2" s="1"/>
  <c r="G361" i="2" a="1"/>
  <c r="G361" i="2" s="1"/>
  <c r="G362" i="2" a="1"/>
  <c r="G362" i="2" s="1"/>
  <c r="G363" i="2" a="1"/>
  <c r="G363" i="2" s="1"/>
  <c r="G364" i="2" a="1"/>
  <c r="G364" i="2" s="1"/>
  <c r="G365" i="2" a="1"/>
  <c r="G365" i="2" s="1"/>
  <c r="G366" i="2" a="1"/>
  <c r="G366" i="2" s="1"/>
  <c r="G367" i="2" a="1"/>
  <c r="G367" i="2" s="1"/>
  <c r="G368" i="2" a="1"/>
  <c r="G368" i="2" s="1"/>
  <c r="G369" i="2" a="1"/>
  <c r="G369" i="2" s="1"/>
  <c r="G370" i="2" a="1"/>
  <c r="G370" i="2" s="1"/>
  <c r="G371" i="2" a="1"/>
  <c r="G371" i="2" s="1"/>
  <c r="G372" i="2" a="1"/>
  <c r="G372" i="2" s="1"/>
  <c r="G373" i="2" a="1"/>
  <c r="G373" i="2" s="1"/>
  <c r="G374" i="2" a="1"/>
  <c r="G374" i="2" s="1"/>
  <c r="G375" i="2" a="1"/>
  <c r="G375" i="2" s="1"/>
  <c r="G376" i="2" a="1"/>
  <c r="G376" i="2" s="1"/>
  <c r="G377" i="2" a="1"/>
  <c r="G377" i="2" s="1"/>
  <c r="G378" i="2" a="1"/>
  <c r="G378" i="2" s="1"/>
  <c r="G379" i="2" a="1"/>
  <c r="G379" i="2" s="1"/>
  <c r="G380" i="2" a="1"/>
  <c r="G380" i="2" s="1"/>
  <c r="G381" i="2" a="1"/>
  <c r="G381" i="2" s="1"/>
  <c r="G382" i="2" a="1"/>
  <c r="G382" i="2" s="1"/>
  <c r="G383" i="2" a="1"/>
  <c r="G383" i="2" s="1"/>
  <c r="G384" i="2" a="1"/>
  <c r="G384" i="2" s="1"/>
  <c r="G385" i="2" a="1"/>
  <c r="G385" i="2" s="1"/>
  <c r="G386" i="2" a="1"/>
  <c r="G386" i="2" s="1"/>
  <c r="G387" i="2" a="1"/>
  <c r="G387" i="2" s="1"/>
  <c r="G388" i="2" a="1"/>
  <c r="G388" i="2" s="1"/>
  <c r="G389" i="2" a="1"/>
  <c r="G389" i="2" s="1"/>
  <c r="G390" i="2" a="1"/>
  <c r="G390" i="2" s="1"/>
  <c r="G391" i="2" a="1"/>
  <c r="G391" i="2" s="1"/>
  <c r="G392" i="2" a="1"/>
  <c r="G392" i="2" s="1"/>
  <c r="G393" i="2" a="1"/>
  <c r="G393" i="2" s="1"/>
  <c r="G394" i="2" a="1"/>
  <c r="G394" i="2" s="1"/>
  <c r="G395" i="2" a="1"/>
  <c r="G395" i="2" s="1"/>
  <c r="G396" i="2" a="1"/>
  <c r="G396" i="2" s="1"/>
  <c r="G397" i="2" a="1"/>
  <c r="G397" i="2" s="1"/>
  <c r="G398" i="2" a="1"/>
  <c r="G398" i="2" s="1"/>
  <c r="G399" i="2" a="1"/>
  <c r="G399" i="2" s="1"/>
  <c r="G400" i="2" a="1"/>
  <c r="G400" i="2" s="1"/>
  <c r="G401" i="2" a="1"/>
  <c r="G401" i="2" s="1"/>
  <c r="G402" i="2" a="1"/>
  <c r="G402" i="2" s="1"/>
  <c r="G403" i="2" a="1"/>
  <c r="G403" i="2" s="1"/>
  <c r="G404" i="2" a="1"/>
  <c r="G404" i="2" s="1"/>
  <c r="G405" i="2" a="1"/>
  <c r="G405" i="2" s="1"/>
  <c r="G406" i="2" a="1"/>
  <c r="G406" i="2" s="1"/>
  <c r="G407" i="2" a="1"/>
  <c r="G407" i="2" s="1"/>
  <c r="G408" i="2" a="1"/>
  <c r="G408" i="2" s="1"/>
  <c r="G409" i="2" a="1"/>
  <c r="G409" i="2" s="1"/>
  <c r="G410" i="2" a="1"/>
  <c r="G410" i="2" s="1"/>
  <c r="G411" i="2" a="1"/>
  <c r="G411" i="2" s="1"/>
  <c r="G412" i="2" a="1"/>
  <c r="G412" i="2" s="1"/>
  <c r="G413" i="2" a="1"/>
  <c r="G413" i="2" s="1"/>
  <c r="G414" i="2" a="1"/>
  <c r="G414" i="2" s="1"/>
  <c r="G415" i="2" a="1"/>
  <c r="G415" i="2" s="1"/>
  <c r="G416" i="2" a="1"/>
  <c r="G416" i="2" s="1"/>
  <c r="G417" i="2" a="1"/>
  <c r="G417" i="2" s="1"/>
  <c r="G418" i="2" a="1"/>
  <c r="G418" i="2" s="1"/>
  <c r="G419" i="2" a="1"/>
  <c r="G419" i="2" s="1"/>
  <c r="G420" i="2" a="1"/>
  <c r="G420" i="2" s="1"/>
  <c r="G421" i="2" a="1"/>
  <c r="G421" i="2" s="1"/>
  <c r="G422" i="2" a="1"/>
  <c r="G422" i="2" s="1"/>
  <c r="G423" i="2" a="1"/>
  <c r="G423" i="2" s="1"/>
  <c r="G424" i="2" a="1"/>
  <c r="G424" i="2" s="1"/>
  <c r="G425" i="2" a="1"/>
  <c r="G425" i="2" s="1"/>
  <c r="G426" i="2" a="1"/>
  <c r="G426" i="2" s="1"/>
  <c r="G427" i="2" a="1"/>
  <c r="G427" i="2" s="1"/>
  <c r="G428" i="2" a="1"/>
  <c r="G428" i="2" s="1"/>
  <c r="G429" i="2" a="1"/>
  <c r="G429" i="2" s="1"/>
  <c r="G430" i="2" a="1"/>
  <c r="G430" i="2" s="1"/>
  <c r="G431" i="2" a="1"/>
  <c r="G431" i="2" s="1"/>
  <c r="G432" i="2" a="1"/>
  <c r="G432" i="2" s="1"/>
  <c r="G433" i="2" a="1"/>
  <c r="G433" i="2" s="1"/>
  <c r="G434" i="2" a="1"/>
  <c r="G434" i="2" s="1"/>
  <c r="G435" i="2" a="1"/>
  <c r="G435" i="2" s="1"/>
  <c r="G436" i="2" a="1"/>
  <c r="G436" i="2" s="1"/>
  <c r="G437" i="2" a="1"/>
  <c r="G437" i="2" s="1"/>
  <c r="G438" i="2" a="1"/>
  <c r="G438" i="2" s="1"/>
  <c r="G439" i="2" a="1"/>
  <c r="G439" i="2" s="1"/>
  <c r="G440" i="2" a="1"/>
  <c r="G440" i="2" s="1"/>
  <c r="G441" i="2" a="1"/>
  <c r="G441" i="2" s="1"/>
  <c r="G442" i="2" a="1"/>
  <c r="G442" i="2" s="1"/>
  <c r="G443" i="2" a="1"/>
  <c r="G443" i="2" s="1"/>
  <c r="G444" i="2" a="1"/>
  <c r="G444" i="2" s="1"/>
  <c r="G445" i="2" a="1"/>
  <c r="G445" i="2" s="1"/>
  <c r="G446" i="2" a="1"/>
  <c r="G446" i="2" s="1"/>
  <c r="G447" i="2" a="1"/>
  <c r="G447" i="2" s="1"/>
  <c r="G448" i="2" a="1"/>
  <c r="G448" i="2" s="1"/>
  <c r="G449" i="2" a="1"/>
  <c r="G449" i="2" s="1"/>
  <c r="G450" i="2" a="1"/>
  <c r="G450" i="2" s="1"/>
  <c r="G451" i="2" a="1"/>
  <c r="G451" i="2" s="1"/>
  <c r="G452" i="2" a="1"/>
  <c r="G452" i="2" s="1"/>
  <c r="G453" i="2" a="1"/>
  <c r="G453" i="2" s="1"/>
  <c r="G454" i="2" a="1"/>
  <c r="G454" i="2" s="1"/>
  <c r="G455" i="2" a="1"/>
  <c r="G455" i="2" s="1"/>
  <c r="G456" i="2" a="1"/>
  <c r="G456" i="2" s="1"/>
  <c r="G457" i="2" a="1"/>
  <c r="G457" i="2" s="1"/>
  <c r="G458" i="2" a="1"/>
  <c r="G458" i="2" s="1"/>
  <c r="G459" i="2" a="1"/>
  <c r="G459" i="2" s="1"/>
  <c r="G460" i="2" a="1"/>
  <c r="G460" i="2" s="1"/>
  <c r="G461" i="2" a="1"/>
  <c r="G461" i="2" s="1"/>
  <c r="G462" i="2" a="1"/>
  <c r="G462" i="2" s="1"/>
  <c r="G463" i="2" a="1"/>
  <c r="G463" i="2" s="1"/>
  <c r="G464" i="2" a="1"/>
  <c r="G464" i="2" s="1"/>
  <c r="G465" i="2" a="1"/>
  <c r="G465" i="2" s="1"/>
  <c r="G466" i="2" a="1"/>
  <c r="G466" i="2" s="1"/>
  <c r="G467" i="2" a="1"/>
  <c r="G467" i="2" s="1"/>
  <c r="G468" i="2" a="1"/>
  <c r="G468" i="2" s="1"/>
  <c r="G469" i="2" a="1"/>
  <c r="G469" i="2" s="1"/>
  <c r="G470" i="2" a="1"/>
  <c r="G470" i="2" s="1"/>
  <c r="G471" i="2" a="1"/>
  <c r="G471" i="2" s="1"/>
  <c r="G472" i="2" a="1"/>
  <c r="G472" i="2" s="1"/>
  <c r="G473" i="2" a="1"/>
  <c r="G473" i="2" s="1"/>
  <c r="G474" i="2" a="1"/>
  <c r="G474" i="2" s="1"/>
  <c r="G475" i="2" a="1"/>
  <c r="G475" i="2" s="1"/>
  <c r="G476" i="2" a="1"/>
  <c r="G476" i="2" s="1"/>
  <c r="G477" i="2" a="1"/>
  <c r="G477" i="2" s="1"/>
  <c r="G478" i="2" a="1"/>
  <c r="G478" i="2" s="1"/>
  <c r="G479" i="2" a="1"/>
  <c r="G479" i="2" s="1"/>
  <c r="G480" i="2" a="1"/>
  <c r="G480" i="2" s="1"/>
  <c r="G481" i="2" a="1"/>
  <c r="G481" i="2" s="1"/>
  <c r="G482" i="2" a="1"/>
  <c r="G482" i="2" s="1"/>
  <c r="G483" i="2" a="1"/>
  <c r="G483" i="2" s="1"/>
  <c r="G484" i="2" a="1"/>
  <c r="G484" i="2" s="1"/>
  <c r="G485" i="2" a="1"/>
  <c r="G485" i="2" s="1"/>
  <c r="G486" i="2" a="1"/>
  <c r="G486" i="2" s="1"/>
  <c r="G487" i="2" a="1"/>
  <c r="G487" i="2" s="1"/>
  <c r="G488" i="2" a="1"/>
  <c r="G488" i="2" s="1"/>
  <c r="G489" i="2" a="1"/>
  <c r="G489" i="2" s="1"/>
  <c r="G490" i="2" a="1"/>
  <c r="G490" i="2" s="1"/>
  <c r="G491" i="2" a="1"/>
  <c r="G491" i="2" s="1"/>
  <c r="G492" i="2" a="1"/>
  <c r="G492" i="2" s="1"/>
  <c r="G493" i="2" a="1"/>
  <c r="G493" i="2" s="1"/>
  <c r="G494" i="2" a="1"/>
  <c r="G494" i="2" s="1"/>
  <c r="G495" i="2" a="1"/>
  <c r="G495" i="2" s="1"/>
  <c r="G496" i="2" a="1"/>
  <c r="G496" i="2" s="1"/>
  <c r="G497" i="2" a="1"/>
  <c r="G497" i="2" s="1"/>
  <c r="G498" i="2" a="1"/>
  <c r="G498" i="2" s="1"/>
  <c r="G499" i="2" a="1"/>
  <c r="G499" i="2" s="1"/>
  <c r="G500" i="2" a="1"/>
  <c r="G500" i="2" s="1"/>
  <c r="G501" i="2" a="1"/>
  <c r="G501" i="2" s="1"/>
  <c r="G502" i="2" a="1"/>
  <c r="G502" i="2" s="1"/>
  <c r="G503" i="2" a="1"/>
  <c r="G503" i="2" s="1"/>
  <c r="G504" i="2" a="1"/>
  <c r="G504" i="2" s="1"/>
  <c r="G505" i="2" a="1"/>
  <c r="G505" i="2" s="1"/>
  <c r="G506" i="2" a="1"/>
  <c r="G506" i="2" s="1"/>
  <c r="G507" i="2" a="1"/>
  <c r="G507" i="2" s="1"/>
  <c r="G508" i="2" a="1"/>
  <c r="G508" i="2" s="1"/>
  <c r="G509" i="2" a="1"/>
  <c r="G509" i="2" s="1"/>
  <c r="G510" i="2" a="1"/>
  <c r="G510" i="2" s="1"/>
  <c r="G511" i="2" a="1"/>
  <c r="G511" i="2" s="1"/>
  <c r="G512" i="2" a="1"/>
  <c r="G512" i="2" s="1"/>
  <c r="G513" i="2" a="1"/>
  <c r="G513" i="2" s="1"/>
  <c r="G514" i="2" a="1"/>
  <c r="G514" i="2" s="1"/>
  <c r="G515" i="2" a="1"/>
  <c r="G515" i="2" s="1"/>
  <c r="G516" i="2" a="1"/>
  <c r="G516" i="2" s="1"/>
  <c r="G517" i="2" a="1"/>
  <c r="G517" i="2" s="1"/>
  <c r="G518" i="2" a="1"/>
  <c r="G518" i="2" s="1"/>
  <c r="G519" i="2" a="1"/>
  <c r="G519" i="2" s="1"/>
  <c r="G520" i="2" a="1"/>
  <c r="G520" i="2" s="1"/>
  <c r="G521" i="2" a="1"/>
  <c r="G521" i="2" s="1"/>
  <c r="G522" i="2" a="1"/>
  <c r="G522" i="2" s="1"/>
  <c r="G523" i="2" a="1"/>
  <c r="G523" i="2" s="1"/>
  <c r="G524" i="2" a="1"/>
  <c r="G524" i="2" s="1"/>
  <c r="G525" i="2" a="1"/>
  <c r="G525" i="2" s="1"/>
  <c r="G526" i="2" a="1"/>
  <c r="G526" i="2" s="1"/>
  <c r="G527" i="2" a="1"/>
  <c r="G527" i="2" s="1"/>
  <c r="G528" i="2" a="1"/>
  <c r="G528" i="2" s="1"/>
  <c r="G529" i="2" a="1"/>
  <c r="G529" i="2" s="1"/>
  <c r="G530" i="2" a="1"/>
  <c r="G530" i="2" s="1"/>
  <c r="G531" i="2" a="1"/>
  <c r="G531" i="2" s="1"/>
  <c r="H3" i="2" a="1"/>
  <c r="H3" i="2" s="1"/>
  <c r="H4" i="2" a="1"/>
  <c r="H4" i="2" s="1"/>
  <c r="H5" i="2" a="1"/>
  <c r="H5" i="2" s="1"/>
  <c r="H6" i="2" a="1"/>
  <c r="H6" i="2" s="1"/>
  <c r="H7" i="2" a="1"/>
  <c r="H7" i="2" s="1"/>
  <c r="H8" i="2" a="1"/>
  <c r="H8" i="2" s="1"/>
  <c r="H9" i="2" a="1"/>
  <c r="H9" i="2" s="1"/>
  <c r="H10" i="2" a="1"/>
  <c r="H10" i="2" s="1"/>
  <c r="H11" i="2" a="1"/>
  <c r="H11" i="2" s="1"/>
  <c r="H12" i="2" a="1"/>
  <c r="H12" i="2" s="1"/>
  <c r="H13" i="2" a="1"/>
  <c r="H13" i="2" s="1"/>
  <c r="H14" i="2" a="1"/>
  <c r="H14" i="2" s="1"/>
  <c r="H15" i="2" a="1"/>
  <c r="H15" i="2" s="1"/>
  <c r="H16" i="2" a="1"/>
  <c r="H16" i="2" s="1"/>
  <c r="H17" i="2" a="1"/>
  <c r="H17" i="2" s="1"/>
  <c r="H18" i="2" a="1"/>
  <c r="H18" i="2" s="1"/>
  <c r="H19" i="2" a="1"/>
  <c r="H19" i="2" s="1"/>
  <c r="H20" i="2" a="1"/>
  <c r="H20" i="2" s="1"/>
  <c r="H21" i="2" a="1"/>
  <c r="H21" i="2" s="1"/>
  <c r="H22" i="2" a="1"/>
  <c r="H22" i="2" s="1"/>
  <c r="H23" i="2" a="1"/>
  <c r="H23" i="2" s="1"/>
  <c r="H24" i="2" a="1"/>
  <c r="H24" i="2" s="1"/>
  <c r="H25" i="2" a="1"/>
  <c r="H25" i="2" s="1"/>
  <c r="H26" i="2" a="1"/>
  <c r="H26" i="2" s="1"/>
  <c r="H27" i="2" a="1"/>
  <c r="H27" i="2" s="1"/>
  <c r="H28" i="2" a="1"/>
  <c r="H28" i="2" s="1"/>
  <c r="H29" i="2" a="1"/>
  <c r="H29" i="2" s="1"/>
  <c r="H30" i="2" a="1"/>
  <c r="H30" i="2" s="1"/>
  <c r="H31" i="2" a="1"/>
  <c r="H31" i="2" s="1"/>
  <c r="H32" i="2" a="1"/>
  <c r="H32" i="2" s="1"/>
  <c r="H33" i="2" a="1"/>
  <c r="H33" i="2" s="1"/>
  <c r="H34" i="2" a="1"/>
  <c r="H34" i="2" s="1"/>
  <c r="H35" i="2" a="1"/>
  <c r="H35" i="2" s="1"/>
  <c r="H36" i="2" a="1"/>
  <c r="H36" i="2" s="1"/>
  <c r="H37" i="2" a="1"/>
  <c r="H37" i="2" s="1"/>
  <c r="H38" i="2" a="1"/>
  <c r="H38" i="2" s="1"/>
  <c r="H39" i="2" a="1"/>
  <c r="H39" i="2" s="1"/>
  <c r="H40" i="2" a="1"/>
  <c r="H40" i="2" s="1"/>
  <c r="H41" i="2" a="1"/>
  <c r="H41" i="2" s="1"/>
  <c r="H42" i="2" a="1"/>
  <c r="H42" i="2" s="1"/>
  <c r="H43" i="2" a="1"/>
  <c r="H43" i="2" s="1"/>
  <c r="H44" i="2" a="1"/>
  <c r="H44" i="2" s="1"/>
  <c r="H45" i="2" a="1"/>
  <c r="H45" i="2" s="1"/>
  <c r="H46" i="2" a="1"/>
  <c r="H46" i="2" s="1"/>
  <c r="H47" i="2" a="1"/>
  <c r="H47" i="2" s="1"/>
  <c r="H48" i="2" a="1"/>
  <c r="H48" i="2" s="1"/>
  <c r="H49" i="2" a="1"/>
  <c r="H49" i="2" s="1"/>
  <c r="H50" i="2" a="1"/>
  <c r="H50" i="2" s="1"/>
  <c r="H51" i="2" a="1"/>
  <c r="H51" i="2" s="1"/>
  <c r="H52" i="2" a="1"/>
  <c r="H52" i="2" s="1"/>
  <c r="H53" i="2" a="1"/>
  <c r="H53" i="2" s="1"/>
  <c r="H54" i="2" a="1"/>
  <c r="H54" i="2" s="1"/>
  <c r="H55" i="2" a="1"/>
  <c r="H55" i="2" s="1"/>
  <c r="H56" i="2" a="1"/>
  <c r="H56" i="2" s="1"/>
  <c r="H57" i="2" a="1"/>
  <c r="H57" i="2" s="1"/>
  <c r="H58" i="2" a="1"/>
  <c r="H58" i="2" s="1"/>
  <c r="H59" i="2" a="1"/>
  <c r="H59" i="2" s="1"/>
  <c r="H60" i="2" a="1"/>
  <c r="H60" i="2" s="1"/>
  <c r="H61" i="2" a="1"/>
  <c r="H61" i="2" s="1"/>
  <c r="H62" i="2" a="1"/>
  <c r="H62" i="2" s="1"/>
  <c r="H63" i="2" a="1"/>
  <c r="H63" i="2" s="1"/>
  <c r="H64" i="2" a="1"/>
  <c r="H64" i="2" s="1"/>
  <c r="H65" i="2" a="1"/>
  <c r="H65" i="2" s="1"/>
  <c r="H66" i="2" a="1"/>
  <c r="H66" i="2" s="1"/>
  <c r="H67" i="2" a="1"/>
  <c r="H67" i="2" s="1"/>
  <c r="H68" i="2" a="1"/>
  <c r="H68" i="2" s="1"/>
  <c r="H69" i="2" a="1"/>
  <c r="H69" i="2" s="1"/>
  <c r="H70" i="2" a="1"/>
  <c r="H70" i="2" s="1"/>
  <c r="H71" i="2" a="1"/>
  <c r="H71" i="2" s="1"/>
  <c r="H72" i="2" a="1"/>
  <c r="H72" i="2" s="1"/>
  <c r="H73" i="2" a="1"/>
  <c r="H73" i="2" s="1"/>
  <c r="H74" i="2" a="1"/>
  <c r="H74" i="2" s="1"/>
  <c r="H75" i="2" a="1"/>
  <c r="H75" i="2" s="1"/>
  <c r="H76" i="2" a="1"/>
  <c r="H76" i="2" s="1"/>
  <c r="H77" i="2" a="1"/>
  <c r="H77" i="2" s="1"/>
  <c r="H78" i="2" a="1"/>
  <c r="H78" i="2" s="1"/>
  <c r="H79" i="2" a="1"/>
  <c r="H79" i="2" s="1"/>
  <c r="H80" i="2" a="1"/>
  <c r="H80" i="2" s="1"/>
  <c r="H81" i="2" a="1"/>
  <c r="H81" i="2" s="1"/>
  <c r="H82" i="2" a="1"/>
  <c r="H82" i="2" s="1"/>
  <c r="H83" i="2" a="1"/>
  <c r="H83" i="2" s="1"/>
  <c r="H84" i="2" a="1"/>
  <c r="H84" i="2" s="1"/>
  <c r="H85" i="2" a="1"/>
  <c r="H85" i="2" s="1"/>
  <c r="H86" i="2" a="1"/>
  <c r="H86" i="2" s="1"/>
  <c r="H87" i="2" a="1"/>
  <c r="H87" i="2" s="1"/>
  <c r="H88" i="2" a="1"/>
  <c r="H88" i="2" s="1"/>
  <c r="H89" i="2" a="1"/>
  <c r="H89" i="2" s="1"/>
  <c r="H90" i="2" a="1"/>
  <c r="H90" i="2" s="1"/>
  <c r="H91" i="2" a="1"/>
  <c r="H91" i="2" s="1"/>
  <c r="H92" i="2" a="1"/>
  <c r="H92" i="2" s="1"/>
  <c r="H93" i="2" a="1"/>
  <c r="H93" i="2" s="1"/>
  <c r="H94" i="2" a="1"/>
  <c r="H94" i="2" s="1"/>
  <c r="H95" i="2" a="1"/>
  <c r="H95" i="2" s="1"/>
  <c r="H96" i="2" a="1"/>
  <c r="H96" i="2" s="1"/>
  <c r="H97" i="2" a="1"/>
  <c r="H97" i="2" s="1"/>
  <c r="H98" i="2" a="1"/>
  <c r="H98" i="2" s="1"/>
  <c r="H99" i="2" a="1"/>
  <c r="H99" i="2" s="1"/>
  <c r="H100" i="2" a="1"/>
  <c r="H100" i="2" s="1"/>
  <c r="H101" i="2" a="1"/>
  <c r="H101" i="2" s="1"/>
  <c r="H102" i="2" a="1"/>
  <c r="H102" i="2" s="1"/>
  <c r="H103" i="2" a="1"/>
  <c r="H103" i="2" s="1"/>
  <c r="H104" i="2" a="1"/>
  <c r="H104" i="2" s="1"/>
  <c r="H105" i="2" a="1"/>
  <c r="H105" i="2" s="1"/>
  <c r="H106" i="2" a="1"/>
  <c r="H106" i="2" s="1"/>
  <c r="H107" i="2" a="1"/>
  <c r="H107" i="2" s="1"/>
  <c r="H108" i="2" a="1"/>
  <c r="H108" i="2" s="1"/>
  <c r="H109" i="2" a="1"/>
  <c r="H109" i="2" s="1"/>
  <c r="H110" i="2" a="1"/>
  <c r="H110" i="2" s="1"/>
  <c r="H111" i="2" a="1"/>
  <c r="H111" i="2" s="1"/>
  <c r="H112" i="2" a="1"/>
  <c r="H112" i="2" s="1"/>
  <c r="H113" i="2" a="1"/>
  <c r="H113" i="2" s="1"/>
  <c r="H114" i="2" a="1"/>
  <c r="H114" i="2" s="1"/>
  <c r="H115" i="2" a="1"/>
  <c r="H115" i="2" s="1"/>
  <c r="H116" i="2" a="1"/>
  <c r="H116" i="2" s="1"/>
  <c r="H117" i="2" a="1"/>
  <c r="H117" i="2" s="1"/>
  <c r="H118" i="2" a="1"/>
  <c r="H118" i="2" s="1"/>
  <c r="H119" i="2" a="1"/>
  <c r="H119" i="2" s="1"/>
  <c r="H120" i="2" a="1"/>
  <c r="H120" i="2" s="1"/>
  <c r="H121" i="2" a="1"/>
  <c r="H121" i="2" s="1"/>
  <c r="H122" i="2" a="1"/>
  <c r="H122" i="2" s="1"/>
  <c r="H123" i="2" a="1"/>
  <c r="H123" i="2" s="1"/>
  <c r="H124" i="2" a="1"/>
  <c r="H124" i="2" s="1"/>
  <c r="H125" i="2" a="1"/>
  <c r="H125" i="2" s="1"/>
  <c r="H126" i="2" a="1"/>
  <c r="H126" i="2" s="1"/>
  <c r="H127" i="2" a="1"/>
  <c r="H127" i="2" s="1"/>
  <c r="H128" i="2" a="1"/>
  <c r="H128" i="2" s="1"/>
  <c r="H129" i="2" a="1"/>
  <c r="H129" i="2" s="1"/>
  <c r="H130" i="2" a="1"/>
  <c r="H130" i="2" s="1"/>
  <c r="H131" i="2" a="1"/>
  <c r="H131" i="2" s="1"/>
  <c r="H132" i="2" a="1"/>
  <c r="H132" i="2" s="1"/>
  <c r="H133" i="2" a="1"/>
  <c r="H133" i="2" s="1"/>
  <c r="H134" i="2" a="1"/>
  <c r="H134" i="2" s="1"/>
  <c r="H135" i="2" a="1"/>
  <c r="H135" i="2" s="1"/>
  <c r="H136" i="2" a="1"/>
  <c r="H136" i="2" s="1"/>
  <c r="H137" i="2" a="1"/>
  <c r="H137" i="2" s="1"/>
  <c r="H138" i="2" a="1"/>
  <c r="H138" i="2" s="1"/>
  <c r="H139" i="2" a="1"/>
  <c r="H139" i="2" s="1"/>
  <c r="H140" i="2" a="1"/>
  <c r="H140" i="2" s="1"/>
  <c r="H141" i="2" a="1"/>
  <c r="H141" i="2" s="1"/>
  <c r="H142" i="2" a="1"/>
  <c r="H142" i="2" s="1"/>
  <c r="H143" i="2" a="1"/>
  <c r="H143" i="2" s="1"/>
  <c r="H144" i="2" a="1"/>
  <c r="H144" i="2" s="1"/>
  <c r="H145" i="2" a="1"/>
  <c r="H145" i="2" s="1"/>
  <c r="H146" i="2" a="1"/>
  <c r="H146" i="2" s="1"/>
  <c r="H147" i="2" a="1"/>
  <c r="H147" i="2" s="1"/>
  <c r="H148" i="2" a="1"/>
  <c r="H148" i="2" s="1"/>
  <c r="H149" i="2" a="1"/>
  <c r="H149" i="2" s="1"/>
  <c r="H150" i="2" a="1"/>
  <c r="H150" i="2" s="1"/>
  <c r="H151" i="2" a="1"/>
  <c r="H151" i="2" s="1"/>
  <c r="H152" i="2" a="1"/>
  <c r="H152" i="2" s="1"/>
  <c r="H153" i="2" a="1"/>
  <c r="H153" i="2" s="1"/>
  <c r="H154" i="2" a="1"/>
  <c r="H154" i="2" s="1"/>
  <c r="H155" i="2" a="1"/>
  <c r="H155" i="2" s="1"/>
  <c r="H156" i="2" a="1"/>
  <c r="H156" i="2" s="1"/>
  <c r="H157" i="2" a="1"/>
  <c r="H157" i="2" s="1"/>
  <c r="H158" i="2" a="1"/>
  <c r="H158" i="2" s="1"/>
  <c r="H159" i="2" a="1"/>
  <c r="H159" i="2" s="1"/>
  <c r="H160" i="2" a="1"/>
  <c r="H160" i="2" s="1"/>
  <c r="H161" i="2" a="1"/>
  <c r="H161" i="2" s="1"/>
  <c r="H162" i="2" a="1"/>
  <c r="H162" i="2" s="1"/>
  <c r="H163" i="2" a="1"/>
  <c r="H163" i="2" s="1"/>
  <c r="H164" i="2" a="1"/>
  <c r="H164" i="2" s="1"/>
  <c r="H165" i="2" a="1"/>
  <c r="H165" i="2" s="1"/>
  <c r="H166" i="2" a="1"/>
  <c r="H166" i="2" s="1"/>
  <c r="H167" i="2" a="1"/>
  <c r="H167" i="2" s="1"/>
  <c r="H168" i="2" a="1"/>
  <c r="H168" i="2" s="1"/>
  <c r="H169" i="2" a="1"/>
  <c r="H169" i="2" s="1"/>
  <c r="H170" i="2" a="1"/>
  <c r="H170" i="2" s="1"/>
  <c r="H171" i="2" a="1"/>
  <c r="H171" i="2" s="1"/>
  <c r="H172" i="2" a="1"/>
  <c r="H172" i="2" s="1"/>
  <c r="H173" i="2" a="1"/>
  <c r="H173" i="2" s="1"/>
  <c r="H174" i="2" a="1"/>
  <c r="H174" i="2" s="1"/>
  <c r="H175" i="2" a="1"/>
  <c r="H175" i="2" s="1"/>
  <c r="H176" i="2" a="1"/>
  <c r="H176" i="2" s="1"/>
  <c r="H177" i="2" a="1"/>
  <c r="H177" i="2" s="1"/>
  <c r="H178" i="2" a="1"/>
  <c r="H178" i="2" s="1"/>
  <c r="H179" i="2" a="1"/>
  <c r="H179" i="2" s="1"/>
  <c r="H180" i="2" a="1"/>
  <c r="H180" i="2" s="1"/>
  <c r="H181" i="2" a="1"/>
  <c r="H181" i="2" s="1"/>
  <c r="H182" i="2" a="1"/>
  <c r="H182" i="2" s="1"/>
  <c r="H183" i="2" a="1"/>
  <c r="H183" i="2" s="1"/>
  <c r="H184" i="2" a="1"/>
  <c r="H184" i="2" s="1"/>
  <c r="H185" i="2" a="1"/>
  <c r="H185" i="2" s="1"/>
  <c r="H186" i="2" a="1"/>
  <c r="H186" i="2" s="1"/>
  <c r="H187" i="2" a="1"/>
  <c r="H187" i="2" s="1"/>
  <c r="H188" i="2" a="1"/>
  <c r="H188" i="2" s="1"/>
  <c r="H189" i="2" a="1"/>
  <c r="H189" i="2" s="1"/>
  <c r="H190" i="2" a="1"/>
  <c r="H190" i="2" s="1"/>
  <c r="H191" i="2" a="1"/>
  <c r="H191" i="2" s="1"/>
  <c r="H192" i="2" a="1"/>
  <c r="H192" i="2" s="1"/>
  <c r="H193" i="2" a="1"/>
  <c r="H193" i="2" s="1"/>
  <c r="H194" i="2" a="1"/>
  <c r="H194" i="2" s="1"/>
  <c r="H195" i="2" a="1"/>
  <c r="H195" i="2" s="1"/>
  <c r="H196" i="2" a="1"/>
  <c r="H196" i="2" s="1"/>
  <c r="H197" i="2" a="1"/>
  <c r="H197" i="2" s="1"/>
  <c r="H198" i="2" a="1"/>
  <c r="H198" i="2" s="1"/>
  <c r="H199" i="2" a="1"/>
  <c r="H199" i="2" s="1"/>
  <c r="H200" i="2" a="1"/>
  <c r="H200" i="2" s="1"/>
  <c r="H201" i="2" a="1"/>
  <c r="H201" i="2" s="1"/>
  <c r="H202" i="2" a="1"/>
  <c r="H202" i="2" s="1"/>
  <c r="H203" i="2" a="1"/>
  <c r="H203" i="2" s="1"/>
  <c r="H204" i="2" a="1"/>
  <c r="H204" i="2" s="1"/>
  <c r="H205" i="2" a="1"/>
  <c r="H205" i="2" s="1"/>
  <c r="H206" i="2" a="1"/>
  <c r="H206" i="2" s="1"/>
  <c r="H207" i="2" a="1"/>
  <c r="H207" i="2" s="1"/>
  <c r="H208" i="2" a="1"/>
  <c r="H208" i="2" s="1"/>
  <c r="H209" i="2" a="1"/>
  <c r="H209" i="2" s="1"/>
  <c r="H210" i="2" a="1"/>
  <c r="H210" i="2" s="1"/>
  <c r="H211" i="2" a="1"/>
  <c r="H211" i="2" s="1"/>
  <c r="H212" i="2" a="1"/>
  <c r="H212" i="2" s="1"/>
  <c r="H213" i="2" a="1"/>
  <c r="H213" i="2" s="1"/>
  <c r="H214" i="2" a="1"/>
  <c r="H214" i="2" s="1"/>
  <c r="H215" i="2" a="1"/>
  <c r="H215" i="2" s="1"/>
  <c r="H216" i="2" a="1"/>
  <c r="H216" i="2" s="1"/>
  <c r="H217" i="2" a="1"/>
  <c r="H217" i="2" s="1"/>
  <c r="H218" i="2" a="1"/>
  <c r="H218" i="2" s="1"/>
  <c r="H219" i="2" a="1"/>
  <c r="H219" i="2" s="1"/>
  <c r="H220" i="2" a="1"/>
  <c r="H220" i="2" s="1"/>
  <c r="H221" i="2" a="1"/>
  <c r="H221" i="2" s="1"/>
  <c r="H222" i="2" a="1"/>
  <c r="H222" i="2" s="1"/>
  <c r="H223" i="2" a="1"/>
  <c r="H223" i="2" s="1"/>
  <c r="H224" i="2" a="1"/>
  <c r="H224" i="2" s="1"/>
  <c r="H225" i="2" a="1"/>
  <c r="H225" i="2" s="1"/>
  <c r="H226" i="2" a="1"/>
  <c r="H226" i="2" s="1"/>
  <c r="H227" i="2" a="1"/>
  <c r="H227" i="2" s="1"/>
  <c r="H228" i="2" a="1"/>
  <c r="H228" i="2" s="1"/>
  <c r="H229" i="2" a="1"/>
  <c r="H229" i="2" s="1"/>
  <c r="H230" i="2" a="1"/>
  <c r="H230" i="2" s="1"/>
  <c r="H231" i="2" a="1"/>
  <c r="H231" i="2" s="1"/>
  <c r="H232" i="2" a="1"/>
  <c r="H232" i="2" s="1"/>
  <c r="H233" i="2" a="1"/>
  <c r="H233" i="2" s="1"/>
  <c r="H234" i="2" a="1"/>
  <c r="H234" i="2" s="1"/>
  <c r="H235" i="2" a="1"/>
  <c r="H235" i="2" s="1"/>
  <c r="H236" i="2" a="1"/>
  <c r="H236" i="2" s="1"/>
  <c r="H237" i="2" a="1"/>
  <c r="H237" i="2" s="1"/>
  <c r="H238" i="2" a="1"/>
  <c r="H238" i="2" s="1"/>
  <c r="H239" i="2" a="1"/>
  <c r="H239" i="2" s="1"/>
  <c r="H240" i="2" a="1"/>
  <c r="H240" i="2" s="1"/>
  <c r="H241" i="2" a="1"/>
  <c r="H241" i="2" s="1"/>
  <c r="H242" i="2" a="1"/>
  <c r="H242" i="2" s="1"/>
  <c r="H243" i="2" a="1"/>
  <c r="H243" i="2" s="1"/>
  <c r="H244" i="2" a="1"/>
  <c r="H244" i="2" s="1"/>
  <c r="H245" i="2" a="1"/>
  <c r="H245" i="2" s="1"/>
  <c r="H246" i="2" a="1"/>
  <c r="H246" i="2" s="1"/>
  <c r="H247" i="2" a="1"/>
  <c r="H247" i="2" s="1"/>
  <c r="H248" i="2" a="1"/>
  <c r="H248" i="2" s="1"/>
  <c r="H249" i="2" a="1"/>
  <c r="H249" i="2" s="1"/>
  <c r="H250" i="2" a="1"/>
  <c r="H250" i="2" s="1"/>
  <c r="H251" i="2" a="1"/>
  <c r="H251" i="2" s="1"/>
  <c r="H252" i="2" a="1"/>
  <c r="H252" i="2" s="1"/>
  <c r="H253" i="2" a="1"/>
  <c r="H253" i="2" s="1"/>
  <c r="H254" i="2" a="1"/>
  <c r="H254" i="2" s="1"/>
  <c r="H255" i="2" a="1"/>
  <c r="H255" i="2" s="1"/>
  <c r="H256" i="2" a="1"/>
  <c r="H256" i="2" s="1"/>
  <c r="H257" i="2" a="1"/>
  <c r="H257" i="2" s="1"/>
  <c r="H258" i="2" a="1"/>
  <c r="H258" i="2" s="1"/>
  <c r="H259" i="2" a="1"/>
  <c r="H259" i="2" s="1"/>
  <c r="H260" i="2" a="1"/>
  <c r="H260" i="2" s="1"/>
  <c r="H261" i="2" a="1"/>
  <c r="H261" i="2" s="1"/>
  <c r="H262" i="2" a="1"/>
  <c r="H262" i="2" s="1"/>
  <c r="H263" i="2" a="1"/>
  <c r="H263" i="2" s="1"/>
  <c r="H264" i="2" a="1"/>
  <c r="H264" i="2" s="1"/>
  <c r="H265" i="2" a="1"/>
  <c r="H265" i="2" s="1"/>
  <c r="H266" i="2" a="1"/>
  <c r="H266" i="2" s="1"/>
  <c r="H267" i="2" a="1"/>
  <c r="H267" i="2" s="1"/>
  <c r="H268" i="2" a="1"/>
  <c r="H268" i="2" s="1"/>
  <c r="H269" i="2" a="1"/>
  <c r="H269" i="2" s="1"/>
  <c r="H270" i="2" a="1"/>
  <c r="H270" i="2" s="1"/>
  <c r="H271" i="2" a="1"/>
  <c r="H271" i="2" s="1"/>
  <c r="H272" i="2" a="1"/>
  <c r="H272" i="2" s="1"/>
  <c r="H273" i="2" a="1"/>
  <c r="H273" i="2" s="1"/>
  <c r="H274" i="2" a="1"/>
  <c r="H274" i="2" s="1"/>
  <c r="H275" i="2" a="1"/>
  <c r="H275" i="2" s="1"/>
  <c r="H276" i="2" a="1"/>
  <c r="H276" i="2" s="1"/>
  <c r="H277" i="2" a="1"/>
  <c r="H277" i="2" s="1"/>
  <c r="H278" i="2" a="1"/>
  <c r="H278" i="2" s="1"/>
  <c r="H279" i="2" a="1"/>
  <c r="H279" i="2" s="1"/>
  <c r="H280" i="2" a="1"/>
  <c r="H280" i="2" s="1"/>
  <c r="H281" i="2" a="1"/>
  <c r="H281" i="2" s="1"/>
  <c r="H282" i="2" a="1"/>
  <c r="H282" i="2" s="1"/>
  <c r="H283" i="2" a="1"/>
  <c r="H283" i="2" s="1"/>
  <c r="H284" i="2" a="1"/>
  <c r="H284" i="2" s="1"/>
  <c r="H285" i="2" a="1"/>
  <c r="H285" i="2" s="1"/>
  <c r="H286" i="2" a="1"/>
  <c r="H286" i="2" s="1"/>
  <c r="H287" i="2" a="1"/>
  <c r="H287" i="2" s="1"/>
  <c r="H288" i="2" a="1"/>
  <c r="H288" i="2" s="1"/>
  <c r="H289" i="2" a="1"/>
  <c r="H289" i="2" s="1"/>
  <c r="H290" i="2" a="1"/>
  <c r="H290" i="2" s="1"/>
  <c r="H291" i="2" a="1"/>
  <c r="H291" i="2" s="1"/>
  <c r="H292" i="2" a="1"/>
  <c r="H292" i="2" s="1"/>
  <c r="H293" i="2" a="1"/>
  <c r="H293" i="2" s="1"/>
  <c r="H294" i="2" a="1"/>
  <c r="H294" i="2" s="1"/>
  <c r="H295" i="2" a="1"/>
  <c r="H295" i="2" s="1"/>
  <c r="H296" i="2" a="1"/>
  <c r="H296" i="2" s="1"/>
  <c r="H297" i="2" a="1"/>
  <c r="H297" i="2" s="1"/>
  <c r="H298" i="2" a="1"/>
  <c r="H298" i="2" s="1"/>
  <c r="H299" i="2" a="1"/>
  <c r="H299" i="2" s="1"/>
  <c r="H300" i="2" a="1"/>
  <c r="H300" i="2" s="1"/>
  <c r="H301" i="2" a="1"/>
  <c r="H301" i="2" s="1"/>
  <c r="H302" i="2" a="1"/>
  <c r="H302" i="2" s="1"/>
  <c r="H303" i="2" a="1"/>
  <c r="H303" i="2" s="1"/>
  <c r="H304" i="2" a="1"/>
  <c r="H304" i="2" s="1"/>
  <c r="H305" i="2" a="1"/>
  <c r="H305" i="2" s="1"/>
  <c r="H306" i="2" a="1"/>
  <c r="H306" i="2" s="1"/>
  <c r="H307" i="2" a="1"/>
  <c r="H307" i="2" s="1"/>
  <c r="H308" i="2" a="1"/>
  <c r="H308" i="2" s="1"/>
  <c r="H309" i="2" a="1"/>
  <c r="H309" i="2" s="1"/>
  <c r="H310" i="2" a="1"/>
  <c r="H310" i="2" s="1"/>
  <c r="H311" i="2" a="1"/>
  <c r="H311" i="2" s="1"/>
  <c r="H312" i="2" a="1"/>
  <c r="H312" i="2" s="1"/>
  <c r="H313" i="2" a="1"/>
  <c r="H313" i="2" s="1"/>
  <c r="H314" i="2" a="1"/>
  <c r="H314" i="2" s="1"/>
  <c r="H315" i="2" a="1"/>
  <c r="H315" i="2" s="1"/>
  <c r="H316" i="2" a="1"/>
  <c r="H316" i="2" s="1"/>
  <c r="H317" i="2" a="1"/>
  <c r="H317" i="2" s="1"/>
  <c r="H318" i="2" a="1"/>
  <c r="H318" i="2" s="1"/>
  <c r="H319" i="2" a="1"/>
  <c r="H319" i="2" s="1"/>
  <c r="H320" i="2" a="1"/>
  <c r="H320" i="2" s="1"/>
  <c r="H321" i="2" a="1"/>
  <c r="H321" i="2" s="1"/>
  <c r="H322" i="2" a="1"/>
  <c r="H322" i="2" s="1"/>
  <c r="H323" i="2" a="1"/>
  <c r="H323" i="2" s="1"/>
  <c r="H324" i="2" a="1"/>
  <c r="H324" i="2" s="1"/>
  <c r="H325" i="2" a="1"/>
  <c r="H325" i="2" s="1"/>
  <c r="H326" i="2" a="1"/>
  <c r="H326" i="2" s="1"/>
  <c r="H327" i="2" a="1"/>
  <c r="H327" i="2" s="1"/>
  <c r="H328" i="2" a="1"/>
  <c r="H328" i="2" s="1"/>
  <c r="H329" i="2" a="1"/>
  <c r="H329" i="2" s="1"/>
  <c r="H330" i="2" a="1"/>
  <c r="H330" i="2" s="1"/>
  <c r="H331" i="2" a="1"/>
  <c r="H331" i="2" s="1"/>
  <c r="H332" i="2" a="1"/>
  <c r="H332" i="2" s="1"/>
  <c r="H333" i="2" a="1"/>
  <c r="H333" i="2" s="1"/>
  <c r="H334" i="2" a="1"/>
  <c r="H334" i="2" s="1"/>
  <c r="H335" i="2" a="1"/>
  <c r="H335" i="2" s="1"/>
  <c r="H336" i="2" a="1"/>
  <c r="H336" i="2" s="1"/>
  <c r="H337" i="2" a="1"/>
  <c r="H337" i="2" s="1"/>
  <c r="H338" i="2" a="1"/>
  <c r="H338" i="2" s="1"/>
  <c r="H339" i="2" a="1"/>
  <c r="H339" i="2" s="1"/>
  <c r="H340" i="2" a="1"/>
  <c r="H340" i="2" s="1"/>
  <c r="H341" i="2" a="1"/>
  <c r="H341" i="2" s="1"/>
  <c r="H342" i="2" a="1"/>
  <c r="H342" i="2" s="1"/>
  <c r="H343" i="2" a="1"/>
  <c r="H343" i="2" s="1"/>
  <c r="H344" i="2" a="1"/>
  <c r="H344" i="2" s="1"/>
  <c r="H345" i="2" a="1"/>
  <c r="H345" i="2" s="1"/>
  <c r="H346" i="2" a="1"/>
  <c r="H346" i="2" s="1"/>
  <c r="H347" i="2" a="1"/>
  <c r="H347" i="2" s="1"/>
  <c r="H348" i="2" a="1"/>
  <c r="H348" i="2" s="1"/>
  <c r="H349" i="2" a="1"/>
  <c r="H349" i="2" s="1"/>
  <c r="H350" i="2" a="1"/>
  <c r="H350" i="2" s="1"/>
  <c r="H351" i="2" a="1"/>
  <c r="H351" i="2" s="1"/>
  <c r="H352" i="2" a="1"/>
  <c r="H352" i="2" s="1"/>
  <c r="H353" i="2" a="1"/>
  <c r="H353" i="2" s="1"/>
  <c r="H354" i="2" a="1"/>
  <c r="H354" i="2" s="1"/>
  <c r="H355" i="2" a="1"/>
  <c r="H355" i="2" s="1"/>
  <c r="H356" i="2" a="1"/>
  <c r="H356" i="2" s="1"/>
  <c r="H357" i="2" a="1"/>
  <c r="H357" i="2" s="1"/>
  <c r="H358" i="2" a="1"/>
  <c r="H358" i="2" s="1"/>
  <c r="H359" i="2" a="1"/>
  <c r="H359" i="2" s="1"/>
  <c r="H360" i="2" a="1"/>
  <c r="H360" i="2" s="1"/>
  <c r="H361" i="2" a="1"/>
  <c r="H361" i="2" s="1"/>
  <c r="H362" i="2" a="1"/>
  <c r="H362" i="2" s="1"/>
  <c r="H363" i="2" a="1"/>
  <c r="H363" i="2" s="1"/>
  <c r="H364" i="2" a="1"/>
  <c r="H364" i="2" s="1"/>
  <c r="H365" i="2" a="1"/>
  <c r="H365" i="2" s="1"/>
  <c r="H366" i="2" a="1"/>
  <c r="H366" i="2" s="1"/>
  <c r="H367" i="2" a="1"/>
  <c r="H367" i="2" s="1"/>
  <c r="H368" i="2" a="1"/>
  <c r="H368" i="2" s="1"/>
  <c r="H369" i="2" a="1"/>
  <c r="H369" i="2" s="1"/>
  <c r="H370" i="2" a="1"/>
  <c r="H370" i="2" s="1"/>
  <c r="H371" i="2" a="1"/>
  <c r="H371" i="2" s="1"/>
  <c r="H372" i="2" a="1"/>
  <c r="H372" i="2" s="1"/>
  <c r="H373" i="2" a="1"/>
  <c r="H373" i="2" s="1"/>
  <c r="H374" i="2" a="1"/>
  <c r="H374" i="2" s="1"/>
  <c r="H375" i="2" a="1"/>
  <c r="H375" i="2" s="1"/>
  <c r="H376" i="2" a="1"/>
  <c r="H376" i="2" s="1"/>
  <c r="H377" i="2" a="1"/>
  <c r="H377" i="2" s="1"/>
  <c r="H378" i="2" a="1"/>
  <c r="H378" i="2" s="1"/>
  <c r="H379" i="2" a="1"/>
  <c r="H379" i="2" s="1"/>
  <c r="H380" i="2" a="1"/>
  <c r="H380" i="2" s="1"/>
  <c r="H381" i="2" a="1"/>
  <c r="H381" i="2" s="1"/>
  <c r="H382" i="2" a="1"/>
  <c r="H382" i="2" s="1"/>
  <c r="H383" i="2" a="1"/>
  <c r="H383" i="2" s="1"/>
  <c r="H384" i="2" a="1"/>
  <c r="H384" i="2" s="1"/>
  <c r="H385" i="2" a="1"/>
  <c r="H385" i="2" s="1"/>
  <c r="H386" i="2" a="1"/>
  <c r="H386" i="2" s="1"/>
  <c r="H387" i="2" a="1"/>
  <c r="H387" i="2" s="1"/>
  <c r="H388" i="2" a="1"/>
  <c r="H388" i="2" s="1"/>
  <c r="H389" i="2" a="1"/>
  <c r="H389" i="2" s="1"/>
  <c r="H390" i="2" a="1"/>
  <c r="H390" i="2" s="1"/>
  <c r="H391" i="2" a="1"/>
  <c r="H391" i="2" s="1"/>
  <c r="H392" i="2" a="1"/>
  <c r="H392" i="2" s="1"/>
  <c r="H393" i="2" a="1"/>
  <c r="H393" i="2" s="1"/>
  <c r="H394" i="2" a="1"/>
  <c r="H394" i="2" s="1"/>
  <c r="H395" i="2" a="1"/>
  <c r="H395" i="2" s="1"/>
  <c r="H396" i="2" a="1"/>
  <c r="H396" i="2" s="1"/>
  <c r="H397" i="2" a="1"/>
  <c r="H397" i="2" s="1"/>
  <c r="H398" i="2" a="1"/>
  <c r="H398" i="2" s="1"/>
  <c r="H399" i="2" a="1"/>
  <c r="H399" i="2" s="1"/>
  <c r="H400" i="2" a="1"/>
  <c r="H400" i="2" s="1"/>
  <c r="H401" i="2" a="1"/>
  <c r="H401" i="2" s="1"/>
  <c r="H402" i="2" a="1"/>
  <c r="H402" i="2" s="1"/>
  <c r="H403" i="2" a="1"/>
  <c r="H403" i="2" s="1"/>
  <c r="H404" i="2" a="1"/>
  <c r="H404" i="2" s="1"/>
  <c r="H405" i="2" a="1"/>
  <c r="H405" i="2" s="1"/>
  <c r="H406" i="2" a="1"/>
  <c r="H406" i="2" s="1"/>
  <c r="H407" i="2" a="1"/>
  <c r="H407" i="2" s="1"/>
  <c r="H408" i="2" a="1"/>
  <c r="H408" i="2" s="1"/>
  <c r="H409" i="2" a="1"/>
  <c r="H409" i="2" s="1"/>
  <c r="H410" i="2" a="1"/>
  <c r="H410" i="2" s="1"/>
  <c r="H411" i="2" a="1"/>
  <c r="H411" i="2" s="1"/>
  <c r="H412" i="2" a="1"/>
  <c r="H412" i="2" s="1"/>
  <c r="H413" i="2" a="1"/>
  <c r="H413" i="2" s="1"/>
  <c r="H414" i="2" a="1"/>
  <c r="H414" i="2" s="1"/>
  <c r="H415" i="2" a="1"/>
  <c r="H415" i="2" s="1"/>
  <c r="H416" i="2" a="1"/>
  <c r="H416" i="2" s="1"/>
  <c r="H417" i="2" a="1"/>
  <c r="H417" i="2" s="1"/>
  <c r="H418" i="2" a="1"/>
  <c r="H418" i="2" s="1"/>
  <c r="H419" i="2" a="1"/>
  <c r="H419" i="2" s="1"/>
  <c r="H420" i="2" a="1"/>
  <c r="H420" i="2" s="1"/>
  <c r="H421" i="2" a="1"/>
  <c r="H421" i="2" s="1"/>
  <c r="H422" i="2" a="1"/>
  <c r="H422" i="2" s="1"/>
  <c r="H423" i="2" a="1"/>
  <c r="H423" i="2" s="1"/>
  <c r="H424" i="2" a="1"/>
  <c r="H424" i="2" s="1"/>
  <c r="H425" i="2" a="1"/>
  <c r="H425" i="2" s="1"/>
  <c r="H426" i="2" a="1"/>
  <c r="H426" i="2" s="1"/>
  <c r="H427" i="2" a="1"/>
  <c r="H427" i="2" s="1"/>
  <c r="H428" i="2" a="1"/>
  <c r="H428" i="2" s="1"/>
  <c r="H429" i="2" a="1"/>
  <c r="H429" i="2" s="1"/>
  <c r="H430" i="2" a="1"/>
  <c r="H430" i="2" s="1"/>
  <c r="H431" i="2" a="1"/>
  <c r="H431" i="2" s="1"/>
  <c r="H432" i="2" a="1"/>
  <c r="H432" i="2" s="1"/>
  <c r="H433" i="2" a="1"/>
  <c r="H433" i="2" s="1"/>
  <c r="H434" i="2" a="1"/>
  <c r="H434" i="2" s="1"/>
  <c r="H435" i="2" a="1"/>
  <c r="H435" i="2" s="1"/>
  <c r="H436" i="2" a="1"/>
  <c r="H436" i="2" s="1"/>
  <c r="H437" i="2" a="1"/>
  <c r="H437" i="2" s="1"/>
  <c r="H438" i="2" a="1"/>
  <c r="H438" i="2" s="1"/>
  <c r="H439" i="2" a="1"/>
  <c r="H439" i="2" s="1"/>
  <c r="H440" i="2" a="1"/>
  <c r="H440" i="2" s="1"/>
  <c r="H441" i="2" a="1"/>
  <c r="H441" i="2" s="1"/>
  <c r="H442" i="2" a="1"/>
  <c r="H442" i="2" s="1"/>
  <c r="H443" i="2" a="1"/>
  <c r="H443" i="2" s="1"/>
  <c r="H444" i="2" a="1"/>
  <c r="H444" i="2" s="1"/>
  <c r="H445" i="2" a="1"/>
  <c r="H445" i="2" s="1"/>
  <c r="H446" i="2" a="1"/>
  <c r="H446" i="2" s="1"/>
  <c r="H447" i="2" a="1"/>
  <c r="H447" i="2" s="1"/>
  <c r="H448" i="2" a="1"/>
  <c r="H448" i="2" s="1"/>
  <c r="H449" i="2" a="1"/>
  <c r="H449" i="2" s="1"/>
  <c r="H450" i="2" a="1"/>
  <c r="H450" i="2" s="1"/>
  <c r="H451" i="2" a="1"/>
  <c r="H451" i="2" s="1"/>
  <c r="H452" i="2" a="1"/>
  <c r="H452" i="2" s="1"/>
  <c r="H453" i="2" a="1"/>
  <c r="H453" i="2" s="1"/>
  <c r="H454" i="2" a="1"/>
  <c r="H454" i="2" s="1"/>
  <c r="H455" i="2" a="1"/>
  <c r="H455" i="2" s="1"/>
  <c r="H456" i="2" a="1"/>
  <c r="H456" i="2" s="1"/>
  <c r="H457" i="2" a="1"/>
  <c r="H457" i="2" s="1"/>
  <c r="H458" i="2" a="1"/>
  <c r="H458" i="2" s="1"/>
  <c r="H459" i="2" a="1"/>
  <c r="H459" i="2" s="1"/>
  <c r="H460" i="2" a="1"/>
  <c r="H460" i="2" s="1"/>
  <c r="H461" i="2" a="1"/>
  <c r="H461" i="2" s="1"/>
  <c r="H462" i="2" a="1"/>
  <c r="H462" i="2" s="1"/>
  <c r="H463" i="2" a="1"/>
  <c r="H463" i="2" s="1"/>
  <c r="H464" i="2" a="1"/>
  <c r="H464" i="2" s="1"/>
  <c r="H465" i="2" a="1"/>
  <c r="H465" i="2" s="1"/>
  <c r="H466" i="2" a="1"/>
  <c r="H466" i="2" s="1"/>
  <c r="H467" i="2" a="1"/>
  <c r="H467" i="2" s="1"/>
  <c r="H468" i="2" a="1"/>
  <c r="H468" i="2" s="1"/>
  <c r="H469" i="2" a="1"/>
  <c r="H469" i="2" s="1"/>
  <c r="H470" i="2" a="1"/>
  <c r="H470" i="2" s="1"/>
  <c r="H471" i="2" a="1"/>
  <c r="H471" i="2" s="1"/>
  <c r="H472" i="2" a="1"/>
  <c r="H472" i="2" s="1"/>
  <c r="H473" i="2" a="1"/>
  <c r="H473" i="2" s="1"/>
  <c r="H474" i="2" a="1"/>
  <c r="H474" i="2" s="1"/>
  <c r="H475" i="2" a="1"/>
  <c r="H475" i="2" s="1"/>
  <c r="H476" i="2" a="1"/>
  <c r="H476" i="2" s="1"/>
  <c r="H477" i="2" a="1"/>
  <c r="H477" i="2" s="1"/>
  <c r="H478" i="2" a="1"/>
  <c r="H478" i="2" s="1"/>
  <c r="H479" i="2" a="1"/>
  <c r="H479" i="2" s="1"/>
  <c r="H480" i="2" a="1"/>
  <c r="H480" i="2" s="1"/>
  <c r="H481" i="2" a="1"/>
  <c r="H481" i="2" s="1"/>
  <c r="H482" i="2" a="1"/>
  <c r="H482" i="2" s="1"/>
  <c r="H483" i="2" a="1"/>
  <c r="H483" i="2" s="1"/>
  <c r="H484" i="2" a="1"/>
  <c r="H484" i="2" s="1"/>
  <c r="H485" i="2" a="1"/>
  <c r="H485" i="2" s="1"/>
  <c r="H486" i="2" a="1"/>
  <c r="H486" i="2" s="1"/>
  <c r="H487" i="2" a="1"/>
  <c r="H487" i="2" s="1"/>
  <c r="H488" i="2" a="1"/>
  <c r="H488" i="2" s="1"/>
  <c r="H489" i="2" a="1"/>
  <c r="H489" i="2" s="1"/>
  <c r="H490" i="2" a="1"/>
  <c r="H490" i="2" s="1"/>
  <c r="H491" i="2" a="1"/>
  <c r="H491" i="2" s="1"/>
  <c r="H492" i="2" a="1"/>
  <c r="H492" i="2" s="1"/>
  <c r="H493" i="2" a="1"/>
  <c r="H493" i="2" s="1"/>
  <c r="H494" i="2" a="1"/>
  <c r="H494" i="2" s="1"/>
  <c r="H495" i="2" a="1"/>
  <c r="H495" i="2" s="1"/>
  <c r="H496" i="2" a="1"/>
  <c r="H496" i="2" s="1"/>
  <c r="H497" i="2" a="1"/>
  <c r="H497" i="2" s="1"/>
  <c r="H498" i="2" a="1"/>
  <c r="H498" i="2" s="1"/>
  <c r="H499" i="2" a="1"/>
  <c r="H499" i="2" s="1"/>
  <c r="H500" i="2" a="1"/>
  <c r="H500" i="2" s="1"/>
  <c r="H501" i="2" a="1"/>
  <c r="H501" i="2" s="1"/>
  <c r="H502" i="2" a="1"/>
  <c r="H502" i="2" s="1"/>
  <c r="H503" i="2" a="1"/>
  <c r="H503" i="2" s="1"/>
  <c r="H504" i="2" a="1"/>
  <c r="H504" i="2" s="1"/>
  <c r="H505" i="2" a="1"/>
  <c r="H505" i="2" s="1"/>
  <c r="H506" i="2" a="1"/>
  <c r="H506" i="2" s="1"/>
  <c r="H507" i="2" a="1"/>
  <c r="H507" i="2" s="1"/>
  <c r="H508" i="2" a="1"/>
  <c r="H508" i="2" s="1"/>
  <c r="H509" i="2" a="1"/>
  <c r="H509" i="2" s="1"/>
  <c r="H510" i="2" a="1"/>
  <c r="H510" i="2" s="1"/>
  <c r="H511" i="2" a="1"/>
  <c r="H511" i="2" s="1"/>
  <c r="H512" i="2" a="1"/>
  <c r="H512" i="2" s="1"/>
  <c r="H513" i="2" a="1"/>
  <c r="H513" i="2" s="1"/>
  <c r="H514" i="2" a="1"/>
  <c r="H514" i="2" s="1"/>
  <c r="H515" i="2" a="1"/>
  <c r="H515" i="2" s="1"/>
  <c r="H516" i="2" a="1"/>
  <c r="H516" i="2" s="1"/>
  <c r="H517" i="2" a="1"/>
  <c r="H517" i="2" s="1"/>
  <c r="H518" i="2" a="1"/>
  <c r="H518" i="2" s="1"/>
  <c r="H519" i="2" a="1"/>
  <c r="H519" i="2" s="1"/>
  <c r="H520" i="2" a="1"/>
  <c r="H520" i="2" s="1"/>
  <c r="H521" i="2" a="1"/>
  <c r="H521" i="2" s="1"/>
  <c r="H522" i="2" a="1"/>
  <c r="H522" i="2" s="1"/>
  <c r="H523" i="2" a="1"/>
  <c r="H523" i="2" s="1"/>
  <c r="H524" i="2" a="1"/>
  <c r="H524" i="2" s="1"/>
  <c r="H525" i="2" a="1"/>
  <c r="H525" i="2" s="1"/>
  <c r="H526" i="2" a="1"/>
  <c r="H526" i="2" s="1"/>
  <c r="H527" i="2" a="1"/>
  <c r="H527" i="2" s="1"/>
  <c r="H528" i="2" a="1"/>
  <c r="H528" i="2" s="1"/>
  <c r="H529" i="2" a="1"/>
  <c r="H529" i="2" s="1"/>
  <c r="H530" i="2" a="1"/>
  <c r="H530" i="2" s="1"/>
  <c r="H531" i="2" a="1"/>
  <c r="H531" i="2" s="1"/>
  <c r="H2" i="2" a="1"/>
  <c r="H2" i="2" s="1"/>
  <c r="F2" i="2" a="1"/>
  <c r="F2" i="2" s="1"/>
  <c r="C2" i="2" a="1"/>
  <c r="C2" i="2" s="1"/>
  <c r="E2" i="2" a="1"/>
  <c r="E2" i="2"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2" i="1"/>
  <c r="G2" i="2" l="1" a="1"/>
  <c r="G2" i="2" s="1"/>
  <c r="H533" i="2" l="1"/>
  <c r="E533" i="2"/>
  <c r="F533" i="2"/>
  <c r="G533"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2" i="2"/>
  <c r="D533" i="2" l="1"/>
  <c r="C53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<sst xmlns="http://schemas.openxmlformats.org/spreadsheetml/2006/main" count="2202" uniqueCount="1118">
  <si>
    <t>author</t>
  </si>
  <si>
    <t>date</t>
  </si>
  <si>
    <t>rating</t>
  </si>
  <si>
    <t>review_text</t>
  </si>
  <si>
    <t>photos_count</t>
  </si>
  <si>
    <t>sentiment</t>
  </si>
  <si>
    <t>Katie Cameron</t>
  </si>
  <si>
    <t>a month ago</t>
  </si>
  <si>
    <t>Beautiful park to wander round. We were there at the wrong time of year to see all the flowers in bloom, but i imagine it would be 10x more beautiful to see. The greener and lake was lovely, with some nice statues and water features. Free to enter with free toilets and parking.</t>
  </si>
  <si>
    <t>StoryMiles</t>
  </si>
  <si>
    <t>2 months ago</t>
  </si>
  <si>
    <t>Chiang Mai Chaloem Phrakiat Park is a peaceful green spot in the city that’s perfect for a morning walk or light exercise. The park has a nice layout with pathways surrounded by trees, flowers, and open space where locals and visitors come to relax. The views inside are beautiful, especially in the early morning when the air is fresh and the atmosphere is calm. It’s not a very large park, but it’s well-maintained and provides a quiet break from the busy streets outside. Many people use it for jogging, walking, or stretching, and you’ll often see groups of locals doing exercises. There are benches and shaded areas where you can sit and enjoy the surroundings. Overall, it’s a simple but pleasant park—nothing fancy, yet a very good choice if you’re staying nearby and want to enjoy some greenery, morning activity, or just a peaceful walk in Chiang Mai.</t>
  </si>
  <si>
    <t>Anggita Indari</t>
  </si>
  <si>
    <t>5 months ago</t>
  </si>
  <si>
    <t>Favorite place in the city 💕 esp during winter! The weather was nice back in January. The sky was clear. The grass was green and clean. I often had a picnic here. Definitely worth a visit just to chill and enjoy the evening.</t>
  </si>
  <si>
    <t>יהב גונן</t>
  </si>
  <si>
    <t>A lovely, huge, and pleasant park. Suitable for a family outing. We arrived in a season without flowers, but a walk in the nearby lakes was enjoyable and beautiful. Wide and generous lawns.</t>
  </si>
  <si>
    <t>Saswat Mishra</t>
  </si>
  <si>
    <t>Went around sunset. Very pretty and expansive park grounds with wonderful lake views, grass meadows and delightful flowers. Great for walks and family outings. Small snack stalls come up around evening and clean toilet facilities are available.</t>
  </si>
  <si>
    <t>Yaw Z</t>
  </si>
  <si>
    <t>6 months ago</t>
  </si>
  <si>
    <t>Great place for photos, walking, and running. Since it's not festival season, there are no decorations or many flower displays—mostly just natural scenery. Still, it's a nice spot to relax and enjoy the view.</t>
  </si>
  <si>
    <t>Charat’s Victualio</t>
  </si>
  <si>
    <t>a year ago</t>
  </si>
  <si>
    <t>The park offers a peaceful environment, making it a perfect spot to take a break from the city's hustle and bustle. It's well-maintained, clean, and provides various amenities to enjoy outdoor activities. Highly recommended for those looking for a tranquil spot to unwind or engage in physical activities.</t>
  </si>
  <si>
    <t>P. Roy</t>
  </si>
  <si>
    <t>9 months ago</t>
  </si>
  <si>
    <t>Beautiful park with lots of different gorgeous flowers. Spent the whole day there during the Chiang Mai Flower Festival, with a big street food market right next to it. At noon everything was decorated with amazing light installations. A real highlight if you have the chance to go there during the festival.</t>
  </si>
  <si>
    <t>panyaphon phiphatkunarnon</t>
  </si>
  <si>
    <t>perfect spot for anyone looking to enjoy a peaceful walk surrounded by nature. The park features a variety of well-maintained walking paths that cater to both casual walkers and those seeking a more challenging stroll. Lush greenery, blooming flowers, and shaded areas along the paths create a refreshing and calming atmosphere. As you walk, you’ll be serenaded by the sounds of birds and the rustling of leaves, offering a welcome escape from the city’s hustle and bustle. There are plenty of benches and rest areas for breaks, allowing you to relax and take in the scenic beauty, whether you’re by the trees or near the serene pond or stream that runs through the park. The park is also accessible to everyone, with wheelchair- and stroller-friendly paths ensuring that people of all ages and abilities can enjoy the walk. With its blend of natural beauty, tranquility, and accessible trails, [Park Name] is a delightful place to recharge, reflect, and enjoy a walk in nature.</t>
  </si>
  <si>
    <t>Woraphat Choengpanya</t>
  </si>
  <si>
    <t>10 months ago</t>
  </si>
  <si>
    <t>There is currently a light show that is beautifully organized, featuring a variety of flowers and free admission. There are plenty of photo spots, but parking can be a bit challenging, and the parking area is quite dusty. Visiting in the evening is ideal for taking great photos with twilight lighting, avoiding excessive heat, and enjoying the illuminated lights.</t>
  </si>
  <si>
    <t>Trang Đặng</t>
  </si>
  <si>
    <t>A should visited place on the way to Chiang Mai University, around 3-4km more This park has a wide area with grasses A great place for enjoying sunset time Good for family picnic or walking with your pets</t>
  </si>
  <si>
    <t>Lisa JJ</t>
  </si>
  <si>
    <t>Trust me, if you are the lucky one to join the New Year’s Eve in Chiangmai, you mustn’t miss here. I remember it’s part of the annual flower festival event or welcoming new year celebrations. This is a park around a lake, you should not miss the sunset view. And for sure not miss the nightlight of the flower ocean. Of course, also don’t forget the Music fountain or water curtain lights show on hourly time from 7-10 pm, with fireworks for ending. Tips: info above all come from last January 2024, plz check out before you go to visit</t>
  </si>
  <si>
    <t>Jayni Blogger</t>
  </si>
  <si>
    <t>7 months ago</t>
  </si>
  <si>
    <t>U need to go to this park for relax, look, and enjoy sunset. I love Chiang Mai Chaloem Phrakiat Park. I came to this park after festival but still nice!</t>
  </si>
  <si>
    <t>Htet Aung Zaw</t>
  </si>
  <si>
    <t>Flowers in the park are so beautiful. Even though I don't know much about flowers, I love it. Around the park, walking lane is beautiful and there are many benches and to sit and rest. Outside the park is market and many food stalls. But it's a little far away from the city based on where you live around 10-15 km. Grab is available around the park. I'm sure if you love the flowers, this is the place to go. By the way winter flower festival is starting from December and ending in January but I don't know the exact date.</t>
  </si>
  <si>
    <t>KC</t>
  </si>
  <si>
    <t>Chiang Mai Chaloem Phrakiat Park is a must-visit if you’re in Chiang Mai during December! The park hosts a stunning flower festival with no entrance fee. It’s vast, well-organized, and filled with gorgeous flowers. I recommend visiting around 4-5 PM to enjoy the beauty during the cooler part of the day. You can easily spend about 2 hours exploring the park. Afterward, if you’re feeling hungry, there’s a lively street food market right outside. It’s bustling and offers a wide variety of delicious local dishes. This park is a great spot for relaxation and taking in Chiang Mai’s festive December vibes!</t>
  </si>
  <si>
    <t>Jacquess Verde</t>
  </si>
  <si>
    <t>This Charming Chiang Mai Flower Festival is amazing. The should the location better, maybe. Chaloem as search title might help, I think. Unbelievable, they can offer the entrance for free. After the sun sets down, the flower festival turns into a festival of lights. Along the entrance you will find many food stall and plants. The bakery is marvelous.</t>
  </si>
  <si>
    <t>Amphawa Choi Family</t>
  </si>
  <si>
    <t>The park entrance is about a 2-minute walk from the parking lot. Both parking and admission are free. There are many different types of flowers and they are blooming so beautifully that it can be thought of as an artificial flower.^^ It looks like they are taking really good care of flowers. We visited during the day, and although the weather was cool, the sunshine was strong, so I recommend bringing a parasol. It was nice during the day, but it would be even better if you visit at night because there are a lot of LED light installations everywhere. I highly recommend you visit with your family or lover na krup~!👍</t>
  </si>
  <si>
    <t>Dennis Committee</t>
  </si>
  <si>
    <t>This is a very large park with lengthy and connected multi use paths for running, walking, cycling etc. it is situated next to a few large man made water features that keeps the heat manageable and produces a peaceful vibe along with the many art exhibits and flowers gardens.</t>
  </si>
  <si>
    <t>Waiyan Htut</t>
  </si>
  <si>
    <t>I couldn't believe that place is FREE OF CHARGE. Don't say you are in Chiang Mai unless you are here in the winter. Enjoy the night with fountains, fireworks and light decorations along with the music. Just drive there!!!!</t>
  </si>
  <si>
    <t>Arthur Goh</t>
  </si>
  <si>
    <t>Beautiful place to visit in the morning. We spent about 2 hrs here (family of 6). The areas are quite friendly for elderly and many seats available. No entrance fees.</t>
  </si>
  <si>
    <t>Desmond Lee</t>
  </si>
  <si>
    <t>Nothing much for tourist. This place are more for locals to jog and exercise. Maybe sometimes will have events and during events might be more fun. The time I visited was nothing.</t>
  </si>
  <si>
    <t>Lâm Tùng</t>
  </si>
  <si>
    <t>3 months ago</t>
  </si>
  <si>
    <t>Love this place! It’s a huge park with lots of walking paths to explore</t>
  </si>
  <si>
    <t>Tea Ovcaric</t>
  </si>
  <si>
    <t>There is a flower festival from 29.11.24 - 05.01.25. I wasbreally impressed by all the wonderful colors and different flowers. Definitely worth a visit.</t>
  </si>
  <si>
    <t>Ricky Chea</t>
  </si>
  <si>
    <t>3 years ago</t>
  </si>
  <si>
    <t>Apparently, there was a flower festival about a month ago. The event has ended but there are still some beautiful flowers there. When I was there, I saw some workers removing the equipment/racks meant for the festival. I saw some people fishing at the pond next to the park as well. Overall, it is still a nice place to chill and relax while enjoying the view.</t>
  </si>
  <si>
    <t>Thailand Living In 'Chiang Mai'</t>
  </si>
  <si>
    <t>So the 2022 Chiang Mai flower festival. Just down the road from 700 stadium. If you haven't been well worth a visit. Decided to go for the dusk/ night session to capture the lights. Amazing work that has done into the floats flowers and set up for the event. Plenty of food stalls around. Well worth a visit.</t>
  </si>
  <si>
    <t>Wong Winnie</t>
  </si>
  <si>
    <t>A hidden germ. Beautiful flower show and night market in early January. Lots of local people come to this place to enjoy the event.</t>
  </si>
  <si>
    <t>Scott Kwak</t>
  </si>
  <si>
    <t>Stunning park filled with flowers and exquisite decor. The Christmas season was filled with fireworks and shows. We also appreciated the complimentary activities and food vendors.</t>
  </si>
  <si>
    <t>Alisa Mylnikova</t>
  </si>
  <si>
    <t>3 weeks ago</t>
  </si>
  <si>
    <t>Nothing to do here in the end of September - no flowers at all, just empty lawns where people play with kites. No shadowy alleys just empty spaces, nowhere to hide from the sun. Bamboo walks very old, scary to walk on. Everyone says they’ve been in the “wrong season to see the flowers”, but no one says which one is right. So we went to check, and no flowers</t>
  </si>
  <si>
    <t>Alastair Foote</t>
  </si>
  <si>
    <t>2 years ago</t>
  </si>
  <si>
    <t>We went to the Flower Festival on Saturday on 7 January. Amazing. We went in the afternoon so we saw the flowers in daylight and then lit up with the light displays. Really good.</t>
  </si>
  <si>
    <t>Craig Steinke</t>
  </si>
  <si>
    <t>Charming Chiang Mai Flower and Light festival going on now until January 2, 2023. Go in the late afternoon to see the gorgeous flowers then stay until nightfall for the seasonal light display. Large parking area, plenty of food available and several music performance stages. FREE ADMISSION.</t>
  </si>
  <si>
    <t>Jukka Schärlund</t>
  </si>
  <si>
    <t>Lots of beautiful flowers. It is a paradise for hobby photographers who like flower photography. I made a couple of hundred photos with my system camera.</t>
  </si>
  <si>
    <t>Ehmz Bend</t>
  </si>
  <si>
    <t>It's highly recommended place. Many vendors, huge open market. Various colorful flowers. It's beautiful Thai traditional festival.</t>
  </si>
  <si>
    <t>mavenn.studio</t>
  </si>
  <si>
    <t>Charming flower festival holds 15 dec 2023 - 1 jan 2024 Lots of flower, food, snack and parking Reccommend to go at night or on evening Avoid noon times too hot</t>
  </si>
  <si>
    <t>Ak</t>
  </si>
  <si>
    <t>Pretty nice park with a lake. It seems pretty well maintained, but the downside is there is nothing around. I don’t think it is worth coming unless there is some events happening here.</t>
  </si>
  <si>
    <t>Viera Fkš</t>
  </si>
  <si>
    <t>Chiang mai Festival flower 2025 vey very nice.Great.👍👌🙏🤘🏽 …</t>
  </si>
  <si>
    <t>Shreyansh Jain</t>
  </si>
  <si>
    <t>Fantastic Park for everyone! It has a lake inside, during the sunset it has an amazing setting of green grass then lake and then mountains behind! Superb place for kids!</t>
  </si>
  <si>
    <t>Per Andersen</t>
  </si>
  <si>
    <t>Nice large park. There is 3 lakes with great views of the doi suthep mountains. Would be good with 1 more toilet near the lakes. Now there is only 1 toilet next to the entrance far from the walk way around the lake. Have to walk about 1 km to reach the toilet.....</t>
  </si>
  <si>
    <t>Susanna</t>
  </si>
  <si>
    <t>Went to the Charming festival here. There was a lightshow and fireworks. I think j prefer the view during the day with the flowers though.</t>
  </si>
  <si>
    <t>Ana</t>
  </si>
  <si>
    <t>Beautiful flower festival happening this winter. 🫶🏼 …</t>
  </si>
  <si>
    <t>Mee Mee</t>
  </si>
  <si>
    <t>I went there new year night &amp; I felt delightful because of lighting show &amp; beautiful flowers.</t>
  </si>
  <si>
    <t>Jo</t>
  </si>
  <si>
    <t>Lot of great food there. Lots of parking. Good place for couples.</t>
  </si>
  <si>
    <t>Hans Hansen</t>
  </si>
  <si>
    <t>Well worth a visit, maybe too hot in the middle of the day, although refreshments are close during the exhibition. Enjoy the light show and LED installations from late afternoon into the evening. If you love flowers, this is your place!</t>
  </si>
  <si>
    <t>Enni Hubi</t>
  </si>
  <si>
    <t>I love the flowers! It’s so beautiful and calm! Also there are a lot of spots where you can take photos for instagram.</t>
  </si>
  <si>
    <t>Rachel Green</t>
  </si>
  <si>
    <t>The flower show and fireworks were so beautiful. I was surprised with a massive scale of this festival. People were not noisy and kept calm while the show was going on. It was so satisfying. Flowers are really well maintained and decorated beautifully.</t>
  </si>
  <si>
    <t>Janene Gonzales</t>
  </si>
  <si>
    <t>There's no entrance fee and there are a lot of things to do here. You could see different kinds of flowers and there's also a market. It's peaceful and warm. A great place to spend your afternoon. It is far from the old city.</t>
  </si>
  <si>
    <t>Bernd Burst</t>
  </si>
  <si>
    <t>Beautiful garden ...December 18th , 2024</t>
  </si>
  <si>
    <t>newnormal life</t>
  </si>
  <si>
    <t>Very beautiful place, especially early in the morning</t>
  </si>
  <si>
    <t>Kai Shen</t>
  </si>
  <si>
    <t>Flower festival in 2024 quite amazing 👏 😍 …</t>
  </si>
  <si>
    <t>Farid Kamar</t>
  </si>
  <si>
    <t>We went to the Flower festival. It was fun.</t>
  </si>
  <si>
    <t>Aleks Wonner</t>
  </si>
  <si>
    <t>A good place for walking and chilling, and the beautiful flower festival too</t>
  </si>
  <si>
    <t>Rokas Martus</t>
  </si>
  <si>
    <t>Great park, lots of animals, very clean</t>
  </si>
  <si>
    <t>Khanh Dinh</t>
  </si>
  <si>
    <t>There is a flower festival at this park from mid Dec to beginning of January.</t>
  </si>
  <si>
    <t>MP “MP”</t>
  </si>
  <si>
    <t>At the event 𝐂𝐡𝐚𝐫𝐦𝐢𝐧𝐠 𝐂𝐡𝐢𝐚𝐧𝐠 𝐌𝐚𝐢 𝐅𝐥𝐨𝐰𝐞𝐫 𝐅𝐞𝐬𝐭𝐢𝐯 𝐚𝐥 “The charm of Chiang Mai City of beautiful flowers" 🌹 …</t>
  </si>
  <si>
    <t>Neil McLean</t>
  </si>
  <si>
    <t>A fabulous day out like being in gardening dream world.</t>
  </si>
  <si>
    <t>Alicja Benkenstein</t>
  </si>
  <si>
    <t>Nice family-friendly place, would be perfect to get there just before sunset, see the flowers, and then stay for the evening light show with fireworks. There’s a huge food market (no alcohol) right next to it with delicious food.</t>
  </si>
  <si>
    <t>Giang Tran</t>
  </si>
  <si>
    <t>11 months ago</t>
  </si>
  <si>
    <t>So beautiful! Best sunset spot!</t>
  </si>
  <si>
    <t>Martin</t>
  </si>
  <si>
    <t>We've been here twice to the "Charming Flower Festival". One time during the day the other time in the evening. Especially in the evening with all the colourful lights, the illuminated flowers and trees, it's so beautiful and absolute worth the visit. Besides there are a lot of food stalls, live music, shows (musical fountain show) etc. Highly recommend.</t>
  </si>
  <si>
    <t>Peter Jay</t>
  </si>
  <si>
    <t>Great park to walk around with your dog. Very pet friendly and welcoming. It’s peaceful walking around the lakes in the am. It’s lovely and pleasant watching the sunset behind the mountains.</t>
  </si>
  <si>
    <t>Tip Woon</t>
  </si>
  <si>
    <t>I visit this place during Charming Chiang Mai Flower Festival</t>
  </si>
  <si>
    <t>Tom Janyarak</t>
  </si>
  <si>
    <t>Edited a year ago</t>
  </si>
  <si>
    <t>Beautiful New Year fireworks 🎇🎆 …</t>
  </si>
  <si>
    <t>Rafiq Rafin</t>
  </si>
  <si>
    <t>Very beautiful. O was awestruck.</t>
  </si>
  <si>
    <t>Alain De Wit</t>
  </si>
  <si>
    <t>4 months ago</t>
  </si>
  <si>
    <t>Beautiful place to visit but better go in November and December</t>
  </si>
  <si>
    <t>Meg Lee</t>
  </si>
  <si>
    <t>Beautiful lighting, spacious place with a lot of booth display and local food stalls.</t>
  </si>
  <si>
    <t>Polo</t>
  </si>
  <si>
    <t>Daytime is nice but... Terrible loud, cheap music pounding late into the night. Can't even talk quietly and enjoy. Lights and flowers look nice, it's ashame about the music.</t>
  </si>
  <si>
    <t>Sweetie Tanya</t>
  </si>
  <si>
    <t>winter season is the best time to go.</t>
  </si>
  <si>
    <t>Jack Getz</t>
  </si>
  <si>
    <t>Beautiful park for an afternoon walk</t>
  </si>
  <si>
    <t>Ju LG</t>
  </si>
  <si>
    <t>Only go between November and January (check the dates for the flowers). There’s nothing to see otherwise</t>
  </si>
  <si>
    <t>Jaxw Ang</t>
  </si>
  <si>
    <t>Flower festivals happen here every year, they even had light shows the previous year, very well designed and the lighting were well placed. It will be a flower paradise</t>
  </si>
  <si>
    <t>Ong Chean Ming</t>
  </si>
  <si>
    <t>I was there on 02/02/24 @6:30pm and literally there's nothing there and the restaurant staff says it closes at 7pm. There's no colourful lightings at all. It's also void of people except those that got dupe going there by the postings...</t>
  </si>
  <si>
    <t>Zed CM</t>
  </si>
  <si>
    <t>Great spot to cut through. Good for learner drivers too. Occasional fairs. Currently (December) a wonderful flower show is being presented.</t>
  </si>
  <si>
    <t>Yudee Tada</t>
  </si>
  <si>
    <t>lots parking lots, clean. Various of flowers and ornamentals but unfortunately I don’t know there names!!!</t>
  </si>
  <si>
    <t>Aliénor Collet</t>
  </si>
  <si>
    <t>A local park where festivals are organized. Food and handcraft market. Visiting during the flower Chiang Mai festival for Christmas celebration. Free !</t>
  </si>
  <si>
    <t>Arekusanda Wei</t>
  </si>
  <si>
    <t>A serene flower-filled park situated in the northern part of Chiang Mai city.</t>
  </si>
  <si>
    <t>Wei Wei</t>
  </si>
  <si>
    <t>Very nice place. recommend</t>
  </si>
  <si>
    <t>David Gouldthorp</t>
  </si>
  <si>
    <t>100 acres of flowers, 400 vendors and even a buffalo macho beauty competition.</t>
  </si>
  <si>
    <t>Tung Fei Choi</t>
  </si>
  <si>
    <t>2022.12 Flower Festival</t>
  </si>
  <si>
    <t>Armani Diamond</t>
  </si>
  <si>
    <t>Nowhere mentioned what is the season and opening hours are wrong. Came there thru whole city to see it at night and it was closed. Total waste of time.</t>
  </si>
  <si>
    <t>Thai Solar</t>
  </si>
  <si>
    <t>Beautiful flower festival.</t>
  </si>
  <si>
    <t>Tan Sze Liang</t>
  </si>
  <si>
    <t>Once a year event. Flower Festival or Led lights display. Winter time local attractions</t>
  </si>
  <si>
    <t>Wong S Y</t>
  </si>
  <si>
    <t>Displays of flowers</t>
  </si>
  <si>
    <t>Warren Smith</t>
  </si>
  <si>
    <t>So beautiful in the night</t>
  </si>
  <si>
    <t>Suranjith (CNX)</t>
  </si>
  <si>
    <t>Beautiful and serene gardens.</t>
  </si>
  <si>
    <t>Manoj Khurana</t>
  </si>
  <si>
    <t>Charming Chiangmai Floral Festival!</t>
  </si>
  <si>
    <t>hama aithroch</t>
  </si>
  <si>
    <t>One of the best and most beautiful places around here</t>
  </si>
  <si>
    <t>Lucie Havlová</t>
  </si>
  <si>
    <t>Beautiful gardens very well maintained</t>
  </si>
  <si>
    <t>Chad Quesenberry</t>
  </si>
  <si>
    <t>We went during a festival and it was incredible but no idea how it normally is.</t>
  </si>
  <si>
    <t>bob bate</t>
  </si>
  <si>
    <t>Good place where an old man can exercise in the morning</t>
  </si>
  <si>
    <t>Nattasit Potjanasit</t>
  </si>
  <si>
    <t>Good for pets friendly</t>
  </si>
  <si>
    <t>Paul Lo</t>
  </si>
  <si>
    <t>Beautiful garden with lots of beautiful flowers</t>
  </si>
  <si>
    <t>Natey Rong</t>
  </si>
  <si>
    <t>a week ago</t>
  </si>
  <si>
    <t>Beautiful</t>
  </si>
  <si>
    <t>Brigita Matulyte</t>
  </si>
  <si>
    <t>Had the best time</t>
  </si>
  <si>
    <t>Myint Than</t>
  </si>
  <si>
    <t>Beautiful setting and amazing presentation of many species of flowers.</t>
  </si>
  <si>
    <t>Reinhard Servas</t>
  </si>
  <si>
    <t>Nice to stay there because of the Flower Festival 2022 in February.</t>
  </si>
  <si>
    <t>Salman Ahmad</t>
  </si>
  <si>
    <t>Loved the vibe, so peaceful and calming</t>
  </si>
  <si>
    <t>Petter Ekhem</t>
  </si>
  <si>
    <t>Big festival area,full activities. Nice!</t>
  </si>
  <si>
    <t>Atthaporn Pansumdaeng (Immi)</t>
  </si>
  <si>
    <t>So beautiful!!!</t>
  </si>
  <si>
    <t>Pongsak “Marc” Rueangpin</t>
  </si>
  <si>
    <t>Only certain time of year where the garden and flowers are put up for the show.</t>
  </si>
  <si>
    <t>Pradeep Mamak</t>
  </si>
  <si>
    <t>Loved the Chiang Mai Flower festival</t>
  </si>
  <si>
    <t>Baaska Ganbat</t>
  </si>
  <si>
    <t>Very comfortable and beautiful park.</t>
  </si>
  <si>
    <t>TCNX</t>
  </si>
  <si>
    <t>Edited 9 months ago</t>
  </si>
  <si>
    <t>Nice park</t>
  </si>
  <si>
    <t>Adam A</t>
  </si>
  <si>
    <t>Failure. Rude loud music for 2 weeks. please shut this down</t>
  </si>
  <si>
    <t>Fedir Danylov</t>
  </si>
  <si>
    <t>Its so nice show at 19.00 and 20.00</t>
  </si>
  <si>
    <t>Fany Lynn</t>
  </si>
  <si>
    <t>😍😍😍😍😍😍😍😍😍😍😍😍 I love flowersssssssss …</t>
  </si>
  <si>
    <t>Mohamad Qayyum</t>
  </si>
  <si>
    <t>Big parking nice restroom</t>
  </si>
  <si>
    <t>Ahmed Youssuf</t>
  </si>
  <si>
    <t>Beautiful park with a market for food</t>
  </si>
  <si>
    <t>ฉัตรชัย สุริยะ</t>
  </si>
  <si>
    <t>So good</t>
  </si>
  <si>
    <t>Bruce Hambridge</t>
  </si>
  <si>
    <t>This is a must see especially at night</t>
  </si>
  <si>
    <t>Zaw Myo Myint</t>
  </si>
  <si>
    <t>Very good place</t>
  </si>
  <si>
    <t>Matthew Bates</t>
  </si>
  <si>
    <t>Absoloutely breath taking</t>
  </si>
  <si>
    <t>Walter Faedo</t>
  </si>
  <si>
    <t>Beautiful park</t>
  </si>
  <si>
    <t>ERIC YU</t>
  </si>
  <si>
    <t>Wonderful</t>
  </si>
  <si>
    <t>moda tailor</t>
  </si>
  <si>
    <t>Nice place</t>
  </si>
  <si>
    <t>Mr. Krittutch Klinbubpha</t>
  </si>
  <si>
    <t>wow</t>
  </si>
  <si>
    <t>Aung Nyein Chan</t>
  </si>
  <si>
    <t>Amazing Garden!!!!!!!!</t>
  </si>
  <si>
    <t>Jaymee M</t>
  </si>
  <si>
    <t>3 days ago</t>
  </si>
  <si>
    <t>This is one of the places that made me want to live in Chiang Mai. ✨🤍✨ …</t>
  </si>
  <si>
    <t>นนทวัชร์ สุริยะวงค์</t>
  </si>
  <si>
    <t>🚩One of Chiang Mai's top relaxation spots🚩, with a stunning Doi Suthep view in front of you, it's perfect for families to relax, stroll, and exercise. The surrounding atmosphere depends on the season. During hot weather, it can get quite humid. But in winter, it's even more amazing, with clear fog visible from the mountaintop. There's also a winter flower exhibition, complete with a mini zoo, to catch the attention of young children and keep them from fussing. Suitable for all ages, and most importantly, there's plenty of parking.💯</t>
  </si>
  <si>
    <t>jadezmith</t>
  </si>
  <si>
    <t>Stop by for a walk and relax in nature. Enjoy the mountain breeze and the evening sun. It's a bit crowded, but the area is large, so it doesn't feel cramped. There are swans and ducks. Get some exercise amidst nature. Plenty of parking, convenient. Beautiful, tall trees. If you have some free time, I recommend taking a walk. Beautiful, beautiful.</t>
  </si>
  <si>
    <t>Caramel Buttercream</t>
  </si>
  <si>
    <t>4 weeks ago</t>
  </si>
  <si>
    <t>The atmosphere is good, there are swans and pygmy goats. In the evening, there are food vendors. The grilled pork shop and the orange juice shop are delicious, but it's a bit far to walk because there's a lot of space. The bathrooms are clean.</t>
  </si>
  <si>
    <t>Chaisiri Sanjai</t>
  </si>
  <si>
    <t>It is a new place to relax in Chiang Mai province. It is easy to travel and is close to the government center. The view is beautiful. It is good for walking and jogging. There is a reservoir and a beautiful view of Doi Suthep mountain. However, when I went in the evening, it started raining heavily, so I could only walk and run a little. There is enough parking space in front and there are quite a few food carts at the entrance. There are also free bathrooms.</t>
  </si>
  <si>
    <t>Teelin Cheer</t>
  </si>
  <si>
    <t>2 weeks ago</t>
  </si>
  <si>
    <t>Chiang Mai Provincial Administrative Organization's public park. Morning jog around the lake. Fresh air and beautiful mountain views.</t>
  </si>
  <si>
    <t>Sevgi Yıldız</t>
  </si>
  <si>
    <t>It's a vast area comprised of three large lakes/reservoirs. Free parking and local vendors are located at the park entrance. There are decorations and a small number of flowers left over from the Flower Festival, which ended in June. It was a delightful walk in the rain. There are restrooms available.</t>
  </si>
  <si>
    <t>Song ninetytwo</t>
  </si>
  <si>
    <t>Edited 3 months ago</t>
  </si>
  <si>
    <t>I really like it. It feels great. I wish Thailand had more places like this. There are thousands of parking spaces. People come to do various activities, exercise, sit and relax, have picnics, play music. There are food for sale at the entrance. There are clean restrooms.</t>
  </si>
  <si>
    <t>Lek Suk</t>
  </si>
  <si>
    <t>A relaxing holiday atmosphere with many beautiful things to see and places to take photos.</t>
  </si>
  <si>
    <t>حسن الهديفي</t>
  </si>
  <si>
    <t>A very beautiful place with no entry tickets. The flower garden isn't really a lot of flowers, and it's noticeable that they aren't interested in flowers, but the place is delightful. It deserves 5 stars and more, especially at sunset. The view, praise be to God, is as if it were a painting, with the beauty of what you see. For tourists, you need to come and spend a period of calm, recollection, and contemplation of nature. For citizens and residents, the place is excellent for walking, jogging, or even practicing some physical exercise. I highly recommend a visit.</t>
  </si>
  <si>
    <t>郝绪东</t>
  </si>
  <si>
    <t>Beautiful park, suitable for walking, there is a small night market at the door selling food and drinks, few tourists, many locals</t>
  </si>
  <si>
    <t>Patipan Norput</t>
  </si>
  <si>
    <t>A beautiful, shady place with a reservoir. In the evening, people come to jog, ride bicycles, have picnics, and relax. There are tents selling food and drinks. There is no entrance fee. There is ample parking and it is convenient to travel.</t>
  </si>
  <si>
    <t>Анжелика Григорьева</t>
  </si>
  <si>
    <t>A quiet park with flowers, if you are tired of visiting temples in the city, it is a great place to change the scenery. We visited after the flower festival in February, and there were already few flowers.</t>
  </si>
  <si>
    <t>Rasa S.</t>
  </si>
  <si>
    <t>Hydrangeas are beautiful, but not many tulips and lilies and they are not in full bloom yet. The large area has many zones to choose from for taking pictures. At night, the lights are beautiful and there are fountains around. There are restaurants at the event, not just walking around like walking streets. There are many shops. You can easily find something to eat here. Come on weekdays, there are not many people. Admission is free. Parking is free. There is also a lot of parking spaces.</t>
  </si>
  <si>
    <t>Al Wa</t>
  </si>
  <si>
    <t>We visited this park late in the afternoon in mid-December. At first I was skeptical, but this changed very quickly. It was one of the most beautiful impressions and experiences for me. The design of the surroundings, fairy lights on the trees and the buildings really impressed me in the darkness. The orchids, flowers and the ambience have also been beautifully designed. Important! This is from November 29, 2024 to January 05, 2025. If you are traveling to Chiang Mai now, you should also visit this park.</t>
  </si>
  <si>
    <t>shuu suk</t>
  </si>
  <si>
    <t>Suitable for walking, light exercise, and relaxation.</t>
  </si>
  <si>
    <t>ตลาดพระไทย</t>
  </si>
  <si>
    <t>Now there are baby swans. Come in the evening so it won't be hot.</t>
  </si>
  <si>
    <t>S. Putnual</t>
  </si>
  <si>
    <t>8 months ago</t>
  </si>
  <si>
    <t>The show has been over for 2-3 days, but the trees and flowers are still being watered and taken care of. It's very refreshing. I took my mother and aunt there. My aunt especially wanted to go since 2 weeks ago. This time, I can't miss it. It's so relaxing. It's natural therapy.</t>
  </si>
  <si>
    <t>Supaporn Waew</t>
  </si>
  <si>
    <t>Edited 6 months ago</t>
  </si>
  <si>
    <t>Very large area with a good view (mountain view if the pollution is clear) 1 KM around the lake perfect for running, jogging, or biking Very large area, if the weather is good, the mountain view is very beautiful. There is a path for walking, running, and biking. Use the shared path. There is a fish feeding point, but you have to bring your own fish food.</t>
  </si>
  <si>
    <t>OK LOVE FAMILY</t>
  </si>
  <si>
    <t>Convenient parking, big event, beautiful flowers, spectacular light and sound fountain show, and an avatar show. The kids are very talented, the lights in the event are beautiful, and there are many food and shop zones. It's fun to walk around.</t>
  </si>
  <si>
    <t>Sinlapachai Wongkawin</t>
  </si>
  <si>
    <t>A public park with beautiful, smooth green grass slopes contrasting with the blue sky. There are scattered large teak trees, providing shadows from the leaves. It's perfect for strolling, enjoying the breeze and the view, or for jogging. In the morning, there are fewer people, so it's not as busy as in the evening. However, evening is also a good time to come for a relaxing walk.</t>
  </si>
  <si>
    <t>Pornpen Chapong</t>
  </si>
  <si>
    <t>It is a public park suitable for families to relax, have a picnic, go for a jog, or take their dogs for a walk.</t>
  </si>
  <si>
    <t>Jutamart Manowong</t>
  </si>
  <si>
    <t>It's a nice place to go for a walk in the evening. People like to go jogging here.</t>
  </si>
  <si>
    <t>Woo CH</t>
  </si>
  <si>
    <t>Edited 10 months ago</t>
  </si>
  <si>
    <t>This is a rare city park in Thailand. The site is spacious and clean, and recently, many events are being held upon opening, such as flower and fireworks festivals and city enterprise fairs. However, perhaps because the opening was rushed too quickly, there are many shortcomings in the management of parking spaces and internal facilities. The boundaries between roads and sidewalks where pedestrians can walk are vague, making it a bit dangerous. It's next to a small lake, so it's great for walking around and exercising.</t>
  </si>
  <si>
    <t>Namwan Kanchana</t>
  </si>
  <si>
    <t>Recharge yourself at least once a day. Quantity is not as important as consistency. Charming Chiang Mai, the city of beautiful flowers (CHARMING Chiang Mai Flower Festival) From November 29, 2024 to January 5, 2025, from 08.30 - 23.00 hrs. At Chiang Mai Provincial Government Center (Chiang Mai Provincial Administrative Organization Garden) Discover the exhibition of various flower and ornamental plants, such as cold-weather plants, tropical plants, rare orchids, sculptures, and nighttime lighting. Be amazed by the fountain show with music, light, color, and sound, starting at 19.00 hrs. (4 shows per day)</t>
  </si>
  <si>
    <t>Secret Garden</t>
  </si>
  <si>
    <t>I had no plans to visit, but while searching on the Internet, I saw that the Chiang Mai Charming Festival started on November 29th and runs until January 5th, 2025, so I decided to visit. It took some time to call a Grab taxi because there was no information in advance, but Grab drivers seemed reluctant to do so during the day. When returning after 6 o'clock, there was no difficulty in calling a Grab. The garden was very well decorated, and there was a market in front that was larger than most night markets, so it was nice to enjoy the sunset and the night view of the garden, which was colorfully decorated with lights. If you visit during the festival period, it is not too far from Maya Mall, so I recommend visiting before or after sunset.</t>
  </si>
  <si>
    <t>TAKA</t>
  </si>
  <si>
    <t>Admission is free, and I imagine it's lit up at night and attracts tourists! I came here during the day, but there was no one there! It was beautiful, with lots of beautiful flowers in bloom!</t>
  </si>
  <si>
    <t>เจนศักดิ์ ปาลภิบาล</t>
  </si>
  <si>
    <t>The venue is Chiang Mai Flower Festival and Chiang Mai Winter Festival. There are beautiful flower or light decorations. There is also a winter festival with music and performances, including product sales. The atmosphere is good and beautiful.</t>
  </si>
  <si>
    <t>Pitta “Pitta” Kamisara</t>
  </si>
  <si>
    <t>I come here every year during the winter. The flowers, gardens, and places are still as beautiful as ever. This time I came, the weather wasn't that cold. It was a bit cold in the morning. But that's okay. I just look at the beauty of the flowers and the place instead.</t>
  </si>
  <si>
    <t>Than T.</t>
  </si>
  <si>
    <t>Amazing place with stunning flowers, fireworks, fountains, and beautiful light decorations, all for free! It's a wonderful gift for the people of Chiang Mai. Thank you for this fantastic experience! Very beautiful, impressive. Thank you Chiang Mai Provincial Administrative Organization for organizing such a wonderful event.</t>
  </si>
  <si>
    <t>KT life</t>
  </si>
  <si>
    <t>It's a perfect place to heal your heart. I came during the flower festival, so there were a lot of flowers. The weather is perfect from December to January. It's not too hot even around noon. If you want to relax without spending a fortune, you should come here for a walk. 🤍</t>
  </si>
  <si>
    <t>Onging Vai</t>
  </si>
  <si>
    <t>Watch the full clip on YouTube YT: Ong Ing Jingle Bell Brother Ongtong and Nong Ingping come to visit the flower festival every year. The festival is held here every year during the winter. Flower Festival has winter flowers such as tulips and hydrangeas every year, very beautiful, including LED light decorations, in 2023 there will be balloons, beautiful. The parking lot is spacious, it seems that it is not enough. There is a dancing fountain show every year. This year 2024, wait and see.</t>
  </si>
  <si>
    <t>Leo Locatelli</t>
  </si>
  <si>
    <t>Arriving at the park after dark, we were very disappointed! The park doesn't have any lighting displays like those seen in the photos. And let's not even talk about the flowers! There simply aren't any. So yes, you can take a short stroll along the lake, but nothing more.</t>
  </si>
  <si>
    <t>littlebeau panhan</t>
  </si>
  <si>
    <t>It's beautifully and magnificently arranged. The daytime event has beautiful flowers. The nighttime event has 4 rounds of fireworks from 7pm to 10pm. It's really great. The event is until January 5th. Come in large numbers!</t>
  </si>
  <si>
    <t>But butt</t>
  </si>
  <si>
    <t>Chiang Mai Magic Festival, City of Beautiful Flowers, 29 Nov 2024 - 5 Jan 2025, with fountain show starting at 7:00 p.m.</t>
  </si>
  <si>
    <t>why_not</t>
  </si>
  <si>
    <t>A wide and spacious park. The festival is over, but there are still flowers. There are many withered flowers in the front, but if you go inside, the lake is very peaceful and nice. It's hot, so it would be good to go after 4 o'clock. I don't know if it's because it's Friday, but there was a huge night market next to the flower park, and it was fun and delicious. It's really big!! There were a lot of people. There were also a lot of places to eat. It's about 100 baht to Maya Mall.</t>
  </si>
  <si>
    <t>鄭伯</t>
  </si>
  <si>
    <t>The scenery is not bad, but the road conditions are ordinary, so be careful when running</t>
  </si>
  <si>
    <t>วันรี เจริญไพบูลย์</t>
  </si>
  <si>
    <t>The venue is very spacious and has two zones. In the event area, there are restaurants selling food on both sides, famous restaurants and restaurants selling local food. After buying, you can sit at a table, in a tent, or lay down a mat to eat as a family. It is very enjoyable and satisfying to the eyes and heart. There is a music stage and music to listen to. It is fun to walk and listen to. The event is until January 5, 2025. Anyone who is free can come and visit. It is very beautiful.</t>
  </si>
  <si>
    <t>Jaquelina Geis</t>
  </si>
  <si>
    <t>We were there during the Charming Flower Festival (until January 5, 2025). Admission was free. Beautiful, very lovingly designed. Absolutely worth it. We also went for the light show. Recommendation: start flower viewing at 5 p.m. and stay until the first show at night (between 6:30 and 7 p.m.).</t>
  </si>
  <si>
    <t>Екатерина Константинова</t>
  </si>
  <si>
    <t>A stunning park. We were there on December 31st – we decided to stay to celebrate the New Year. The park was hosting a flower festival at the time. It was incredibly beautiful. The park is large, with cafes, street food, and tons of different benches. It's perfect for taking kids, as there's plenty to see and do. On New Year's Eve itself, there were fireworks and a fountain show. Parking nearby is free, and you can drive or bike there.</t>
  </si>
  <si>
    <t>Chongluck Srisong</t>
  </si>
  <si>
    <t>Decorated but very beautiful, the flower festival of the province/11/2024-Jan 2025 and good, there are zones and wheelchairs available for the elderly who cannot walk during the flower festival.</t>
  </si>
  <si>
    <t>Fonnuea Srisawat</t>
  </si>
  <si>
    <t>The garden is very big and wide. In the evening, the atmosphere is very good.</t>
  </si>
  <si>
    <t>กชพรรณ รวมก้อนทอง</t>
  </si>
  <si>
    <t>Charming Flower Festival 2025 The event at Chiang Mai Provincial Administrative Organization. The flowers are so fragrant and beautiful. I feel happy and glad that I stopped by to see them.</t>
  </si>
  <si>
    <t>sunisa p.prasit</t>
  </si>
  <si>
    <t>There is a flower arrangement, very beautiful. Stop by to take some nice photos. There is no entrance fee.</t>
  </si>
  <si>
    <t>Kanphitcha ld</t>
  </si>
  <si>
    <t>The flowers are very beautiful. There are beautiful corners to take pictures. The weather is nice these days, not too hot.</t>
  </si>
  <si>
    <t>chonchon pai</t>
  </si>
  <si>
    <t>The show features beautiful colors, a variety of beautiful flowers, a fountain show with music, lights and sounds. There are food booths, food shops and parking.</t>
  </si>
  <si>
    <t>Polabearr Pond</t>
  </si>
  <si>
    <t>The atmosphere in winter is very good. The view is beautiful. The flowers are very beautiful. It is suitable for relaxing or exercising.</t>
  </si>
  <si>
    <t>Suttinee Nook</t>
  </si>
  <si>
    <t>Went before New Year. The lights were beautifully arranged. The flowers were also very beautiful. There was a show and a show of water lilies and fireworks. It was very beautiful and worth it.</t>
  </si>
  <si>
    <t>TKhun1daytrip</t>
  </si>
  <si>
    <t>The atmosphere is nice. I came during the Chiang Mai Charm event. I saw many kinds of flower gardens. It reminded me of the Royal Flora Expo. Anyone who likes flowers must come and see the lights, colors, and fireworks.</t>
  </si>
  <si>
    <t>KYOKO S</t>
  </si>
  <si>
    <t>The Flower Festival is taking place here (December 23, 2016). The large park is filled with colorful flowers, making for a truly beautiful sight! At night, the park is lit up, creating Christmas-like illuminations on the trees. It's a truly beautiful and magical sight, so be sure to check it out. It's about a 20-minute drive from Tha Pae Gate.</t>
  </si>
  <si>
    <t>Amarin No.2</t>
  </si>
  <si>
    <t>It is a large health park. It has been newly developed and is much more beautiful. It is very well done. There is a pond and a photo zone. It is very good. It is a good place to exercise. The Subdistrict Administrative Organization often organizes events.</t>
  </si>
  <si>
    <t>Pintuorn K.</t>
  </si>
  <si>
    <t>The garden is beautifully arranged, the lights are beautiful, the sound and light show is beautiful, the flowers are fresh and fragrant, suitable for traveling in winter.</t>
  </si>
  <si>
    <t>Sasiwimon Doungphet</t>
  </si>
  <si>
    <t>Must come every year. Plenty of parking. Beautiful flower garden. Lights, sounds, fireworks. Very beautiful.</t>
  </si>
  <si>
    <t>aof mike</t>
  </si>
  <si>
    <t>The area around Nong Khieo Reservoir was recently renovated at the end of 2024. The view is very beautiful. You can run around it for about 3 kilometers. It's suitable for sitting, walking, running, and other activities. It's very good.</t>
  </si>
  <si>
    <t>Suracha Kanlayantakul</t>
  </si>
  <si>
    <t>There is a very beautiful and big winter flower festival with lights at night. It is very beautiful and worth visiting. I recommend it.</t>
  </si>
  <si>
    <t>Beer Yuwanda</t>
  </si>
  <si>
    <t>The flowers are very beautiful and wide. People who like taking pictures must go every day. There is a fireworks show at 9:00 p.m. and 10:00 p.m.</t>
  </si>
  <si>
    <t>P Yotana</t>
  </si>
  <si>
    <t>The Chiang Mai Flower Festival, the Charm of the City of Flowers 2023, features flower gardens and beautiful nighttime light shows. The crowd was mostly Thai tourists, with families bringing children and the elderly to take photos of the beautiful flowers. It was a huge success. The budget for the event was likely high, but it was worth it for the public and tourists who came to see it.</t>
  </si>
  <si>
    <t>Arary</t>
  </si>
  <si>
    <t>There is a charming Chiang Mai Festival event every year. The venue is spacious and near the water. There is a dancing fountain show with lights and sounds and a variety of flowers. You can walk around and take photos. It's free. It's a great activity. You can study various flowers and ornamental plants. Anyone can go every day. Follow the news of the event on the page. If you come to visit Chiang Mai in the winter, try to visit at least once.</t>
  </si>
  <si>
    <t>Вероника Кирпиченко</t>
  </si>
  <si>
    <t>Now the park is decorated, it has become livelier, there are few people so far, there is a beautiful show on the lake in the evening. A huge tree is decorated in the Avatar style, there is a Christmas tree and glowing flowers, a palace. The place is spacious, there is a place to walk, there are makashnitsy and children's toys sold nearby. It is better to park a little further from the entrance.</t>
  </si>
  <si>
    <t>nooknick lost in CNX</t>
  </si>
  <si>
    <t>Beautiful garden, lots of parking. I would like to add clean bathrooms at various points as well so you don't have to walk far.</t>
  </si>
  <si>
    <t>Sunida</t>
  </si>
  <si>
    <t>The flower garden is very beautiful, the lights and decorations are spectacular. There is a very wide parking lot. It's just a waste. The bathroom is far and dirty.</t>
  </si>
  <si>
    <t>หมูอ้วนนอกบ้าน</t>
  </si>
  <si>
    <t>#Free admission #No cost . 𝐂𝐡𝐚𝐫𝐦𝐢𝐧𝐠 𝐂𝐡𝐢𝐚𝐧𝐠 𝐌𝐚𝐢 𝐅𝐥𝐨𝐰𝐞𝐫 𝐅𝐞𝐬𝐭𝐢𝐯𝐚𝐥 “The charm of Chiang Mai City of beautiful flowers" 🌹 . 🗓️ 15 December 2023 - 1 January 2024 from 8:00 a.m. - 11:00 p.m. 📌 At the 82nd Anniversary Chaloem Phrakiat Park, behind Chiang Mai City Hall. Complete with 🌺 Millions of decorative flowers that are ready to blossom throughout this new year ✨ Millions of decorative lights With plenty of corners to take photos to post on social media. 🎆 Fountain show with light, color, and sound, very spectacular and satisfying, 4 times a day, 7:00 p.m., 8:00 p.m. p.m., 9:00 p.m., and 10:00 p.m. 🔥 𝐋𝐈𝐆𝐇𝐓 𝐎𝐅 𝐆𝐋𝐎𝐑𝐘 A performance combining Lanna art and internationalism. Ready to show off its beauty to the world, 2 shows per day at 7:30 p.m. and 9:30 p.m.</t>
  </si>
  <si>
    <t>Fon BKK</t>
  </si>
  <si>
    <t>green season / finally stop raining The sun has come and it's green.</t>
  </si>
  <si>
    <t>Nui Review</t>
  </si>
  <si>
    <t>Normally, this park is beautiful during the daytime, and if you come to visit during the festival, it is very beautiful. The event is on until the 16th. There is also a show. The atmosphere is very good. During this time, the weather in Chiang Mai is cool and cool at night. I really like it.</t>
  </si>
  <si>
    <t>Jean-Luc Kapetanovic</t>
  </si>
  <si>
    <t>A beautiful park 3km north of Chiang Mai. Flowers abound, remarkably enhanced by numerous gardeners. It's easy to walk around, with designated rest areas offering shade. Drinks and snacks are available.</t>
  </si>
  <si>
    <t>Sarocha Changpun</t>
  </si>
  <si>
    <t>The weather after the rain. During this rainy season, you'll see green trees and grass, fluffy white clouds, and clear skies. Come visit Chiang Mai in large numbers!</t>
  </si>
  <si>
    <t>Narumone Chaikanjana</t>
  </si>
  <si>
    <t>The Provincial Administrative Organization's lighting event was beautifully organized. Easy to walk, lots of parking. It would be better to park inside and walk closer than outside. Beautiful flowers, beautiful lights It's considered a good polish and it's free. Should come and visit The weather is cool.</t>
  </si>
  <si>
    <t>Paul D. Ramírez Tapia</t>
  </si>
  <si>
    <t>The park itself is currently used for the Charming Flower Festival. It's a great place to have fun and grab a bite to eat. Ample parking and food and picnic areas. Plants and food are sold, and there are lots of colorful lights at night. Very few, if any, tourists.</t>
  </si>
  <si>
    <t>San Wet</t>
  </si>
  <si>
    <t>Chiang Mai Magic Festival, City of Beautiful Flowers, from 29 November 2024 - 5 January 2025</t>
  </si>
  <si>
    <t>Jaray Keawfull (Jay)</t>
  </si>
  <si>
    <t>The place is very wide. Parking has enough space even though there are a lot of people. Festival events are well prepared for organizing events. Charming Chiang Mai style event The city of beautiful flowers for the year 2022 is very beautiful both day and night. There are food stalls, things to use, a music area, music in the garden, a fountain with music, and it's worth it to go.</t>
  </si>
  <si>
    <t>Tz-Yan Huang</t>
  </si>
  <si>
    <t>Heart rate zone 2 exercise, brisk walking and jogging are acceptable. There are no terrain features to use, making it difficult to do outdoor exercise. There are no horizontal bar structures available</t>
  </si>
  <si>
    <t>Leonie Afken</t>
  </si>
  <si>
    <t>Very far out, two others were stranded there because no taxi would take them out. In mid-November, there were no plants; everything was being dug up.</t>
  </si>
  <si>
    <t>prarttana wongsu</t>
  </si>
  <si>
    <t>Refreshing, relaxing, walking, taking pictures to relieve stress.</t>
  </si>
  <si>
    <t>Kim kokki</t>
  </si>
  <si>
    <t>You must go during the festivalㅠ ㅠ The night market for food is really huge, so don't eat before you go (I ate until I was full and just looked around hehe) and eat at the night market, then go around sunset to see the sunset and flowers, and even watch fireworks in the eveningㅠㅠ It might be hard to catch a car on the way back, so I recommend asking around at a songthaew and checking the price before you go! I paid 50 baht and came back to Nimmanhaemin.</t>
  </si>
  <si>
    <t>Sugar 6395</t>
  </si>
  <si>
    <t>The view is very beautiful. The flowers are beautiful. The field of everlasting flowers. Watching the sunset and the reflection of the water is very impressive.</t>
  </si>
  <si>
    <t>Bernhard Ritter</t>
  </si>
  <si>
    <t>Chiang Mai Flower Festival 2025. Beautiful grounds with well-maintained walking paths. Of course, there's also a huge market for food and drink next door.</t>
  </si>
  <si>
    <t>Amornrat Hothaisong</t>
  </si>
  <si>
    <t>Edited 2 years ago</t>
  </si>
  <si>
    <t>Today I went to Suan Chalerm Phrakiat. The weather was quite hot in late April 2023, around 2:00 PM. But the garden was very beautiful, with a good atmosphere. The garden is beautiful, the reservoir, and the mountains are beautiful. In the evening, it must be much more beautiful and the atmosphere is much better.</t>
  </si>
  <si>
    <t>JOJO SAN</t>
  </si>
  <si>
    <t>I came to the flower and light festival here during New Year's. It's a very beautiful garden, more beautiful than any other garden. The fireworks and lights are very spectacular.</t>
  </si>
  <si>
    <t>Penpisit Chanyou</t>
  </si>
  <si>
    <t>Spacious, beautiful fresh flowers arranged neatly into zones, added every day.</t>
  </si>
  <si>
    <t>קובי שריב</t>
  </si>
  <si>
    <t>Flower Festival from November 2024 to January 2025 in collaboration with the Local Economy Promotion Agency and the Ministry of Nature Conservation and National Parks. Beautiful flower displays combined with colorful lighting, an audiovisual show on the lakeshore of water fountains, colorful lighting and fireworks. Of course, sales areas of a variety of products and devices at discounts, diverse food stalls and activities for children.</t>
  </si>
  <si>
    <t>bo walaipron</t>
  </si>
  <si>
    <t>Very spacious, beautiful garden, clean. I've been to Chiang Mai many times but this is the first time I've been here. I'm impressed.</t>
  </si>
  <si>
    <t>นายวิทรรภ์ นิลดี</t>
  </si>
  <si>
    <t>Dec 8, 2024 Come see the flowers at Chiang Mai Provincial Administrative Organization. Beautiful, grand, full venue.</t>
  </si>
  <si>
    <t>Kasidit Pruithithada</t>
  </si>
  <si>
    <t>The 2022 End of Year Flower Festival has beautiful flower arrangements. I'd like to ask the organizers to improve the signage for visitors and parking.</t>
  </si>
  <si>
    <t>Florencia Videla Moreno</t>
  </si>
  <si>
    <t>If you're like me, going to see the flowers in the photos, there's nothing there, haha. I don't know exactly when it starts. But it's a beautiful place to explore on foot or by bike.</t>
  </si>
  <si>
    <t>nadch panaya</t>
  </si>
  <si>
    <t>A seating area for dining under a large roof during the event. The area is covered with real green grass, soft and gentle on the feet.</t>
  </si>
  <si>
    <t>Arryn Targaryen</t>
  </si>
  <si>
    <t>The venue for Charming Chiang Mai 2023 is a flower show of many varieties, diverse and very beautiful. There is an exhibition of Thai fabrics, local fabrics. At night, there is a beautiful light and sound show. There is no admission fee, more worthwhile than the event at Ratchapruek. There are many foods, drinks, handicrafts and others for sale in the event area.</t>
  </si>
  <si>
    <t>Hattaya Malai (hata89)</t>
  </si>
  <si>
    <t>Flower garden under the supervision of the Provincial Administrative Organization. There is a Doi Suthep viewing tower. Next to Green Lake The garden is arranged into various zones. Beautiful flowers, well taken care of There are pavilions and booths to sit and relax by the water. Shady with large trees, good weather, easy to travel, behind the government center, next to the road along the 700-year Chiang Mai Irrigation Canal.</t>
  </si>
  <si>
    <t>polly peng</t>
  </si>
  <si>
    <t>There's a free flower show going on right now. There are lots of beautiful flowers. I highly recommend going around 5pm. The lights are on from day to night, and there's a small night market outside where you can eat.</t>
  </si>
  <si>
    <t>Kornravee r</t>
  </si>
  <si>
    <t>It's all here: flower shows, fireworks, light decorations, fountains, food, temple fairs, and Red Cross fairs. I wish Bangkok would organize events like this too.</t>
  </si>
  <si>
    <t>Charlie Angel</t>
  </si>
  <si>
    <t>Wonder Flora Land 3: The flowers are so beautiful. You can walk around all day from 8 a.m. to 9 or 10 p.m., depending on your preference. There's food from Kad Mua and OTOP products, music, a light and sound show, and fireworks. It's so beautiful. Children and adults will love it here. My only complaint is the bathrooms.</t>
  </si>
  <si>
    <t>Pattarawan Chanpraob</t>
  </si>
  <si>
    <t>Lots of flowers, wide garden, can come to walk and exercise Open 8.30-23.00</t>
  </si>
  <si>
    <t>Loveiskindness Kindness</t>
  </si>
  <si>
    <t>The view of the marsh, the atmosphere of Doi Suthep, the place is clean, the bathroom is convenient, the flowers are beautiful and majestic along the edge of the marsh, lined up and blooming, it is very refreshing.</t>
  </si>
  <si>
    <t>Paint_za</t>
  </si>
  <si>
    <t>It's very beautiful, lots of flowers, lots of decorative lights, lots of food and OTOP products. It's a very big event.</t>
  </si>
  <si>
    <t>Nantanat Nk</t>
  </si>
  <si>
    <t>Beautiful flowers, colorful lights, and fireworks at night. There are a lot of shops selling things.</t>
  </si>
  <si>
    <t>XR DEREK亗 FUE!! วอเอ๊ะๆ</t>
  </si>
  <si>
    <t>You have to go in the winter for it to be beautiful.</t>
  </si>
  <si>
    <t>박윤지</t>
  </si>
  <si>
    <t>So pretty. Go around sunset (6 PM Thailand time). After taking pictures of the flowers and watching the sunset, the sun will set. The best thing about going at this time is that you can see the lights twinkling at night, so you don't have to stay too long and it's not too hot. There's no separate entrance fee. Since the coronavirus pandemic has eased, there are a lot of markets, and there were lots of delicious things to eat!! The most impressive thing was the huge tree. It looks like the World Tree from a cartoon. Hehe.</t>
  </si>
  <si>
    <t>Luca Lu</t>
  </si>
  <si>
    <t>The park is very large and parking is convenient. Take advantage of the flower exhibition to come and enjoy the flowers. It is very suitable for a walk with family or friends!</t>
  </si>
  <si>
    <t>สใบทอง พิมพ์ทอง</t>
  </si>
  <si>
    <t>Chiang Mai's beautiful flower festival is worth seeing both day and night.</t>
  </si>
  <si>
    <t>Unchala May</t>
  </si>
  <si>
    <t>2018 was incredibly beautiful. 2019 was a bit less beautiful, but the tulip scene was better. 2020 had fewer lights and fewer flowers, but overall, it was still beautiful.</t>
  </si>
  <si>
    <t>Siripun S.</t>
  </si>
  <si>
    <t>One of the most beautiful flower shows in my life. I admire the entire team that organized the event and created it to impress tourists.</t>
  </si>
  <si>
    <t>Ann Pornsawan</t>
  </si>
  <si>
    <t>Edited 3 years ago</t>
  </si>
  <si>
    <t>There are festivals held periodically at the beginning of the year. There is a flower festival. The flowers are beautiful because they are well taken care of. The place is clean and tidy. There are housekeepers who clean up all the time. Now, admission is free.</t>
  </si>
  <si>
    <t>โอ๋ อิ้งค์</t>
  </si>
  <si>
    <t>Beautiful, good atmosphere. Overall, the lights and colors are very good. I admire Chiang Mai Provincial Administrative Organization.</t>
  </si>
  <si>
    <t>Wiraporn Noyruang</t>
  </si>
  <si>
    <t>The flower gardens, lights, and overall performance were all very well-arranged. It was beautiful and very impressive. Before going, I contacted the staff via their Facebook page. Dogs are allowed, but they must be carried or placed in a stroller. They are not allowed to walk on the ground.</t>
  </si>
  <si>
    <t>Ekka tun</t>
  </si>
  <si>
    <t>Edited 4 months ago</t>
  </si>
  <si>
    <t>Not long ago, this area was deserted and few people used it. Now, it's been renovated and turned into a beautiful place for relaxation and exercise. The atmosphere is great in the evenings. I took my little bicycle, Jiggy, out for a spin...</t>
  </si>
  <si>
    <t>Narumon Vinichaikul</t>
  </si>
  <si>
    <t>It's not suitable for evening jogging, but more suitable for picnicking.</t>
  </si>
  <si>
    <t>Wi TAENGKASEM</t>
  </si>
  <si>
    <t>CHARMING Chiang Mai Flower Festival 2025 November 29, 2024 to January 5, 2025</t>
  </si>
  <si>
    <t>Oun Kk</t>
  </si>
  <si>
    <t>Beautiful flower garden with a refreshing atmosphere and many photo spots. In the evening, there is a beautiful light show and a musical fountain.</t>
  </si>
  <si>
    <t>Atika Buayai</t>
  </si>
  <si>
    <t>In fact, the place is beautiful and spacious if it is decorated well and not left deserted. In the evening, the light is very beautiful. If there are flowers all year round, it will be a good check-in point in Chiang Mai.</t>
  </si>
  <si>
    <t>tipawan inta</t>
  </si>
  <si>
    <t>Cinnamon McCammon Family Fun Fair "The Charm of Chiang Mai, the City of Beautiful Flowers" . December 15, 2023 - January 1, 2024 From 8:00 AM - 10:00 PM</t>
  </si>
  <si>
    <t>เฉลา เกาะสูงเนิน</t>
  </si>
  <si>
    <t>It's a beautiful place to host annual events. During every festival, including flower festivals, winter festivals, New Year's, and Loi Krathong, the venue is very spacious.</t>
  </si>
  <si>
    <t>Lv</t>
  </si>
  <si>
    <t>Chiang Mai Flower Festival, idyllic especially at night. There is an area of stalls to eat and rest.</t>
  </si>
  <si>
    <t>คมเพชรร์ พัฒนะอิ่ม</t>
  </si>
  <si>
    <t>Chiang Mai Flower Festival 2022 - The charm of Chiang Mai, beautiful flowers 2022 and the colorful flower festival "Seasons of Flower" @ Chiang Mai Province 📌 February 1-15, 2022 …</t>
  </si>
  <si>
    <t>이이용희</t>
  </si>
  <si>
    <t>I went there because I had nothing to do, but I didn't expect there to be a place like this in Chiang Mai, so it was a whole new world~~</t>
  </si>
  <si>
    <t>Thdon</t>
  </si>
  <si>
    <t>It's a nice walk. Go during the OTOP event and where food is sold. It's fun to walk around, very beautiful. When you're hungry, walk to the food zone. There's a lot of food, very delicious. Continue shopping for OTOP products.</t>
  </si>
  <si>
    <t>เที่ยวแบบ เหมียวเหมียว</t>
  </si>
  <si>
    <t>The atmosphere is very good. It happens once a year. I was most impressed when I came. It is even more beautiful in the evening.</t>
  </si>
  <si>
    <t>ภาสกร สังวรราชทรัพย์</t>
  </si>
  <si>
    <t>The lights at night at the event are very beautiful. During the day the flowers are beautiful too. Spacious and convenient parking Many entrances and exits</t>
  </si>
  <si>
    <t>Peerasit Kriangsak</t>
  </si>
  <si>
    <t>It's very beautiful. There's also a sound and light show.</t>
  </si>
  <si>
    <t>chi chi</t>
  </si>
  <si>
    <t>Went to the flower fair at the end of 2024, beautiful, good weather.</t>
  </si>
  <si>
    <t>ZOO design</t>
  </si>
  <si>
    <t>#ChiangMaiChaloemPhrakiatPark A flower festival held in Chiang Mai for about a month in December A fountain show and fireworks show were held every afternoon on the riverside Seeing gorgeous flowers and a great show There was a lot to see and eat I should come during the day in 2024 #ChaloemPhrakiatPark #chiangmaiflowerfestival</t>
  </si>
  <si>
    <t>Supakit Por</t>
  </si>
  <si>
    <t>Government Office Located behind Chiang Mai Provincial Hall</t>
  </si>
  <si>
    <t>แปรงตอง</t>
  </si>
  <si>
    <t>Beautifully managed, shady, but maybe because of Covid and the economy, people don't go out. And the weather is very hot. If I lived nearby, I would go often. I like it very much.</t>
  </si>
  <si>
    <t>SAAB Single</t>
  </si>
  <si>
    <t>I went during the flower festival. It was very beautiful. The atmosphere was good. The surrounding view was beautiful.</t>
  </si>
  <si>
    <t>JacK Chatchai</t>
  </si>
  <si>
    <t>The place is very beautiful, suitable for taking a leisurely stroll, exercising, and enjoying the view of Doi Suthep.</t>
  </si>
  <si>
    <t>พร้อมพูล ชอบเพื่อน</t>
  </si>
  <si>
    <t>The flower garden has a good atmosphere from now until the 15th. There are very beautiful flower decorations.</t>
  </si>
  <si>
    <t>nattapat laohapensang</t>
  </si>
  <si>
    <t>Very beautiful. During the day, the sun is a little hot, but there are spots to avoid the sun. Give it 5 stars.</t>
  </si>
  <si>
    <t>임장규</t>
  </si>
  <si>
    <t>Large parking lot, pretty flowers, well-maintained garden, and it's very quiet on a Saturday. A must-visit place in Chiang Mai.</t>
  </si>
  <si>
    <t>이희찬 (이희)</t>
  </si>
  <si>
    <t>A great place to see flowers. Since it was a festival, there were also food vendors selling food nearby, so it was nice to enjoy the festival as well. :)</t>
  </si>
  <si>
    <t>คุณชาย สุภาพร</t>
  </si>
  <si>
    <t>The Chiang Mai Flower Festival is very beautiful. In the evening, there is a multimedia show (light, sound, and water dance).</t>
  </si>
  <si>
    <t>ฐิติพงษ์ ปินตาพรหม</t>
  </si>
  <si>
    <t>The garden is impressively arranged and beautiful. I would like to compliment the garden arrangement and the beautiful lighting.</t>
  </si>
  <si>
    <t>watchara K</t>
  </si>
  <si>
    <t>Amazing Chiang Mai, the city of beautiful flowers, 15 Dec. 2023 - 21 Jan. 2024</t>
  </si>
  <si>
    <t>nathalie outhabong</t>
  </si>
  <si>
    <t>Very nice place to take photos Very pretty Small street food stalls I recommend it The park is free and very pretty at sunset</t>
  </si>
  <si>
    <t>Jaja Nchn</t>
  </si>
  <si>
    <t>It's beautiful. There's no entrance fee.</t>
  </si>
  <si>
    <t>Dum wong</t>
  </si>
  <si>
    <t>I am a little disappointed this year because last year the flowers were more numerous and beautiful.</t>
  </si>
  <si>
    <t>Natalya Natalya</t>
  </si>
  <si>
    <t>Incredibly beautiful, it’s better to come at sunset to see the place in daylight and at night</t>
  </si>
  <si>
    <t>โม่ง ถ่ายรูป</t>
  </si>
  <si>
    <t>Another new tourist attraction in Chiang Mai that is worth visiting.</t>
  </si>
  <si>
    <t>Jan Ondráček</t>
  </si>
  <si>
    <t>Nice park full of flowers. Pleasant relaxation. Free</t>
  </si>
  <si>
    <t>Thanawat Pengphu</t>
  </si>
  <si>
    <t>Came during the festival. Very beautiful. There is a lot of parking space. Very convenient.</t>
  </si>
  <si>
    <t>chaisit silamai</t>
  </si>
  <si>
    <t>Little swan is cute and the atmosphere is good.</t>
  </si>
  <si>
    <t>Sunyoung Kim</t>
  </si>
  <si>
    <t>A midsummer Christmas! It was a happy flower festival~^^ Let's go to Thailand this winter too!♡</t>
  </si>
  <si>
    <t>Thammarat Jadsua</t>
  </si>
  <si>
    <t>Products at the Charming Chiang Mai OTOP and Community Products Select 2022 event, from 7 – 13 February 2022</t>
  </si>
  <si>
    <t>ช่อง ชอบ ชิม ชม YouTube</t>
  </si>
  <si>
    <t>I came to the flower festival that was held. It was very beautiful. Thank you to everyone who participated in creating the beautiful flower garden.</t>
  </si>
  <si>
    <t>เที่ยว สุดใจ</t>
  </si>
  <si>
    <t>Chiang Mai's Charming Flower Festival "Love Trees Family" #TravelWithAllYourHeart</t>
  </si>
  <si>
    <t>Techapol Srimek</t>
  </si>
  <si>
    <t>Beautiful flower garden in Chiang Mai, organized by the Provincial Administrative Organization at the 80th Birthday Anniversary Park, 15/1/2024</t>
  </si>
  <si>
    <t>Sirirung Chaiprasop</t>
  </si>
  <si>
    <t>The lighting and sound arrangement and the beauty of the flowers are very beautiful and go together very well.</t>
  </si>
  <si>
    <t>ถาวร อุ่นเจริญ</t>
  </si>
  <si>
    <t>Beautiful flower garden according to the festival Ample, convenient parking.</t>
  </si>
  <si>
    <t>Mariam Bakr</t>
  </si>
  <si>
    <t>A free and spacious garden with a large and beautiful lake, a wonderful place to spend the day.</t>
  </si>
  <si>
    <t>Yamon คนงาม</t>
  </si>
  <si>
    <t>The garden is beautifully arranged. There was a festival there. That day I went to a flower festival.</t>
  </si>
  <si>
    <t>บุญชัย ชัยรัตนศักด์</t>
  </si>
  <si>
    <t>Right now I'm planting flowers.</t>
  </si>
  <si>
    <t>วัชรินทร์ จันทร์ทอง</t>
  </si>
  <si>
    <t>I admit that the event was well organized. The day I visited Chiang Mai Provincial Administrative Organization was the beginning of the event. If the garden is fully decorated with flowers and the lights are ready, I guarantee that you will be impressed with the work you have done. Thank you for creating beauty for Chiang Mai.</t>
  </si>
  <si>
    <t>SS SL</t>
  </si>
  <si>
    <t>Bring the kids to see the beautiful flower show 23/12/66</t>
  </si>
  <si>
    <t>Modkanfire Channel</t>
  </si>
  <si>
    <t>Now there's a flower event. Very beautiful. Open for sightseeing and free photography.</t>
  </si>
  <si>
    <t>菲比</t>
  </si>
  <si>
    <t>Although the flower show is over, it is still worth a visit. It is a beautiful and peaceful place.</t>
  </si>
  <si>
    <t>Fia Fia</t>
  </si>
  <si>
    <t>There were a lot of people, like they were making flowers for a winter flower festival. Lots of photo corners</t>
  </si>
  <si>
    <t>Bubble Bubble</t>
  </si>
  <si>
    <t>The garden area of Chiang Mai Provincial Administrative Organization is beautiful, hot, and shady according to the time.</t>
  </si>
  <si>
    <t>Kanyakon Boonruksa</t>
  </si>
  <si>
    <t>Very beautiful.</t>
  </si>
  <si>
    <t>Ojo Tyui</t>
  </si>
  <si>
    <t>Beautiful flowers, beautifully arranged and diverse.</t>
  </si>
  <si>
    <t>Tana Cm</t>
  </si>
  <si>
    <t>The atmosphere is good, suitable for taking the family to visit and see the flower garden.</t>
  </si>
  <si>
    <t>teenuch sawat</t>
  </si>
  <si>
    <t>Beautiful flowers, well cared for, well arranged garden</t>
  </si>
  <si>
    <t>หลง' เวียง</t>
  </si>
  <si>
    <t>The security guard who keeps a dog sleeps all the time. Doesn't his boss say anything? It's terrible. The air conditioning is sometimes cool, sometimes not. I came to a meeting last time.</t>
  </si>
  <si>
    <t>Pittaya Jaiaye</t>
  </si>
  <si>
    <t>There is an event on February 1-15, 2022. The lights at night are beautiful.</t>
  </si>
  <si>
    <t>Aleksei Shekhin</t>
  </si>
  <si>
    <t>Great park with beautiful flowers</t>
  </si>
  <si>
    <t>นายปาน พายุบูรพา</t>
  </si>
  <si>
    <t>It's a place to relax. and organize activities that requires a wide area Behind Chiang Mai City Hall</t>
  </si>
  <si>
    <t>Роман Наничкин</t>
  </si>
  <si>
    <t>Very beautiful, well done.</t>
  </si>
  <si>
    <t>พลอยนภา วรรณา</t>
  </si>
  <si>
    <t>Very beautiful. Ample parking.</t>
  </si>
  <si>
    <t>Naruebhol Somrithi</t>
  </si>
  <si>
    <t>The atmosphere is very good.</t>
  </si>
  <si>
    <t>Anchan Supa</t>
  </si>
  <si>
    <t>The place is very beautiful.</t>
  </si>
  <si>
    <t>Bohdan Domanskyi</t>
  </si>
  <si>
    <t>Beautiful small park, some areas are currently under reconstruction</t>
  </si>
  <si>
    <t>ทนงศักดิ์ จอมนงค์</t>
  </si>
  <si>
    <t>Flower work, the lights and colors are very beautiful.</t>
  </si>
  <si>
    <t>roongarun toonkaew</t>
  </si>
  <si>
    <t>Very beautiful. During the day, the pictures are beautiful. At night, it is also beautiful.</t>
  </si>
  <si>
    <t>ญาณพัฒน์ โพประยูร</t>
  </si>
  <si>
    <t>It is very beautiful, the flowers are beautiful, and walking is very enjoyable.</t>
  </si>
  <si>
    <t>김현주</t>
  </si>
  <si>
    <t>I went to the flower festival Things to see. There was a lot to eat and it was good</t>
  </si>
  <si>
    <t>SEUNG-HO CHOI (Henry)</t>
  </si>
  <si>
    <t>From late December to early January, there is a fountain show every night along with a flower show. It is a place for locals, but sometimes you can see foreign tourists.</t>
  </si>
  <si>
    <t>Panparwe Pettongpoon</t>
  </si>
  <si>
    <t>The event was beautifully organized. The parking lot for the elderly is also a problem.</t>
  </si>
  <si>
    <t>นาย คะน้า</t>
  </si>
  <si>
    <t>The Charming Flower Festival Chiang Mai was beautifully organized.</t>
  </si>
  <si>
    <t>Thanakris S. (Kov)</t>
  </si>
  <si>
    <t>It's beautiful. I went on the first few days and went during a time when there weren't many people. But after a while, there would be a lot of people because it was time for the musical fountain show. But since we had seen it since the Royal Flora Expo, we stopped watching it. We took pictures during the time when people were flocking to see the musical fountain and took pictures with no people instead. I like it, but I don't like the arrangement of the parking lot and the road lanes for cars. It's confusing. Can't turn left, can't turn right, no parking here, no parking there. Even though I was on a motorcycle, until I was about to leave the event, I finally found a place to park. Or maybe that day was just the first few days, it might have gotten better later.</t>
  </si>
  <si>
    <t>Pimthongtharn .z</t>
  </si>
  <si>
    <t>It's clean and spacious, suitable for activities.</t>
  </si>
  <si>
    <t>Nelly Qwe</t>
  </si>
  <si>
    <t>Divine place. Very beautiful.</t>
  </si>
  <si>
    <t>นิตยา พวงนิล</t>
  </si>
  <si>
    <t>It is a very beautiful garden with many kinds of flowers next to the river and a beautiful mountain view.</t>
  </si>
  <si>
    <t>ปกรณ์ ธรรมประพันธ์</t>
  </si>
  <si>
    <t>The Charm of Chiang Mai, the City of Beautiful Flowers #flowers</t>
  </si>
  <si>
    <t>Wa Wa</t>
  </si>
  <si>
    <t>In addition to the flower show, the large venue also has fashion, coffee competitions, cooked food stalls, and massages for those who are tired. In the evening, there is a laser show, which takes place every hour from 7 to 10 o'clock.</t>
  </si>
  <si>
    <t>Superyot7 Y.</t>
  </si>
  <si>
    <t>The flowers are very beautiful. The walkway is convenient. There is a parking lot. There is a food zone with a variety of food.</t>
  </si>
  <si>
    <t>AE Matay</t>
  </si>
  <si>
    <t>During New Year's, there were a lot of people. The parking lot was full. It took almost an hour to find a parking spot. However, the garden is very beautifully decorated. If you go in the evening, the lights are beautiful. There are many food stalls. Admission is free.</t>
  </si>
  <si>
    <t>ตามสไตล์ JaiSabai</t>
  </si>
  <si>
    <t>Chiang Mai beautiful flowers Held here every year</t>
  </si>
  <si>
    <t>李美玲reviewinter</t>
  </si>
  <si>
    <t>I came to the flower festival here. It was my first time here. They organized it very well. The flowers are very beautiful. Every tree has a great choice of colors, tones, and arrangements. I highly recommend it if you want to visit the flower festival and get beautiful photos. You can do it both during the day and at night. I recommend coming around 4:00 PM. That is, take photos of the evening light first and then come to take photos at night. They turn on the lights. It's very beautiful. I highly recommend it. I wish they would organize it every year.</t>
  </si>
  <si>
    <t>Yong Sun PARK</t>
  </si>
  <si>
    <t>It's quiet, but you can enjoy the flowers and there's a lot to eat. The festival is over, but it's worth going once. The bolt is 90 baht at Maya Mall. It's good for taking a break on the bench.</t>
  </si>
  <si>
    <t>อุบลวรรณ ทาปัน</t>
  </si>
  <si>
    <t>Come visit and take photos. The flower garden here is very beautiful. It is held from February 1-15, 2022. At night, the flower lights are very beautiful. Travel in the new normal era. There are officers to screen for COVID-19 before entering the garden area. The restrooms are fully equipped.</t>
  </si>
  <si>
    <t>Pop Prapoj</t>
  </si>
  <si>
    <t>The tulips are very beautiful.</t>
  </si>
  <si>
    <t>komsan pongsri</t>
  </si>
  <si>
    <t>Really the most beautiful arrangement.</t>
  </si>
  <si>
    <t>Amp Pan</t>
  </si>
  <si>
    <t>A very beautiful flower garden</t>
  </si>
  <si>
    <t>Mi Ko</t>
  </si>
  <si>
    <t>The umbrella is so smooth and comfortable 🥰 …</t>
  </si>
  <si>
    <t>Off Dang</t>
  </si>
  <si>
    <t>A very relaxing place to relax on a holiday.</t>
  </si>
  <si>
    <t>Mod Som</t>
  </si>
  <si>
    <t>The flower garden is very beautiful.</t>
  </si>
  <si>
    <t>ธนกฤต บัวเทศ</t>
  </si>
  <si>
    <t>Beautiful flowers, clean and tidy, suitable for families, with many beautiful photo spots.</t>
  </si>
  <si>
    <t>นาตาชา โรมานอฟ</t>
  </si>
  <si>
    <t>Beautiful flowers, lovely Hmong people</t>
  </si>
  <si>
    <t>gunyarat pun</t>
  </si>
  <si>
    <t>I went to the Chiang Mai Flower Festival, which was almost the last day of the event, but the flowers were still very beautiful. There were quite a few people walking around and taking pictures with the flowers. I plan to go next year from the start of the flower festival, because the flowers must be even more beautiful.</t>
  </si>
  <si>
    <t>Lek Raththaphon</t>
  </si>
  <si>
    <t>A park by the reservoir, located on 700 Years Road, offers beautiful scenery and is home to many festivals. Ample parking is available. Located outside the city center, it's near the Government Complex and the 700 Years Stadium. The park is more beautiful in the evening than during the day.</t>
  </si>
  <si>
    <t>petmall vet_care_clinic</t>
  </si>
  <si>
    <t>The venue is well arranged with lots of flowers.</t>
  </si>
  <si>
    <t>Chanpim Rawin</t>
  </si>
  <si>
    <t>Borwornpat B</t>
  </si>
  <si>
    <t>Beautiful, impressive, admire Chiang Mai Provincial Administrative Organization.</t>
  </si>
  <si>
    <t>Татьяна Канарёва</t>
  </si>
  <si>
    <t>The entire park is under reconstruction. They are planting new flowers, trees, painting the frame for the sculptures. There is nothing to do here now until it is restored. The festival will start on December 16, 2023, then it will be beautiful!</t>
  </si>
  <si>
    <t>Pierre Pic</t>
  </si>
  <si>
    <t>The park is beautiful</t>
  </si>
  <si>
    <t>prajan sandet</t>
  </si>
  <si>
    <t>The event is from 1-15 February 2022.</t>
  </si>
  <si>
    <t>ชนกันต์ จิตมนัส</t>
  </si>
  <si>
    <t>Beautiful flower event, Chiang Mai Provincial Administrative Organization</t>
  </si>
  <si>
    <t>สัมพันธ์ โคตรทม</t>
  </si>
  <si>
    <t>Edited a week ago</t>
  </si>
  <si>
    <t>I like to come and sit in the evening when the breeze is cool and comfortable.</t>
  </si>
  <si>
    <t>Nussakon Kemasiri</t>
  </si>
  <si>
    <t>With convenient transportation, spacious parking, beautiful flowers, beautiful songs, and beautiful dancing water music, it's beautiful both day and night. I must thank the Provincial Administrative Organization President, Mr. Pichai Lertphong-adisorn, and the organizing committee for creating something wonderful for everyone.</t>
  </si>
  <si>
    <t>ibrahim halil Yapıcı</t>
  </si>
  <si>
    <t>It's a park we visited by chance at night. I really liked the food market and the beautiful illuminated tulips and barley. Also, the light show starts at 7:00, and I highly recommend watching it.</t>
  </si>
  <si>
    <t>Kanchit Samerchure</t>
  </si>
  <si>
    <t>Beautiful view. Great weather. Awesome.</t>
  </si>
  <si>
    <t>Suree Panta</t>
  </si>
  <si>
    <t>The flowers are very beautiful.</t>
  </si>
  <si>
    <t>คุณแม่ น้องเอวา</t>
  </si>
  <si>
    <t>It's beautiful and I recommend it.</t>
  </si>
  <si>
    <t>Ketwadee Wongpon</t>
  </si>
  <si>
    <t>Wide space, manages parking well. Good display of play zones and food (Winter 67)</t>
  </si>
  <si>
    <t>Leung Amanda</t>
  </si>
  <si>
    <t>A beautiful flower show with many different colors of tulips, hydrangeas, and a large field of lavender. Admission is free.</t>
  </si>
  <si>
    <t>อรอนงค์ สุวรรณสิงห์</t>
  </si>
  <si>
    <t>Beautiful, lots of flowers. It must be very beautiful at night.</t>
  </si>
  <si>
    <t>Guntawat Choatasawasilp</t>
  </si>
  <si>
    <t>03/03/65 came to get the Moderna vaccination. The staff provided good service.</t>
  </si>
  <si>
    <t>Hoon 2</t>
  </si>
  <si>
    <t>The festival runs from the 15th to January 1st. Cancel other plans and be sure to go.</t>
  </si>
  <si>
    <t>manop piya</t>
  </si>
  <si>
    <t>Nanthakorn Proudput</t>
  </si>
  <si>
    <t>A spacious area suitable for picnics and evening jogging.</t>
  </si>
  <si>
    <t>Ploypailin Sanson</t>
  </si>
  <si>
    <t>Sombat Deewongsa</t>
  </si>
  <si>
    <t>It is a place used for Chiang Mai events such as flower shows with lights and sounds organized by the Provincial Administrative Organization. It is considered very good.</t>
  </si>
  <si>
    <t>นพดล เชื้อสาย</t>
  </si>
  <si>
    <t>Plenty of parking, spacious, spacious conference room, cool air conditioning, and a large screen protector.</t>
  </si>
  <si>
    <t>กาตูนย์ เด็กเล่น</t>
  </si>
  <si>
    <t>The atmosphere is shady and there is a cool breeze blowing all the time. Collecting snails with the children.</t>
  </si>
  <si>
    <t>kooroong koong</t>
  </si>
  <si>
    <t>good atmosphere</t>
  </si>
  <si>
    <t>Narin Jiwitan</t>
  </si>
  <si>
    <t>Chiang Mai Flower Garden and Light Festival</t>
  </si>
  <si>
    <t>Léo Poitevin</t>
  </si>
  <si>
    <t>Lots of beautiful flowers that smell super good Plus we were there for the flower festival and so lots of lights and a really cool event</t>
  </si>
  <si>
    <t>AOI Rungthipsuda</t>
  </si>
  <si>
    <t>Charming Chiang Mai Flower Festival, an annual event organized by the Chiang Mai Provincial Administrative Organization's working group.</t>
  </si>
  <si>
    <t>Pavel Novak</t>
  </si>
  <si>
    <t>Mettachai Tongpetchnil</t>
  </si>
  <si>
    <t>Come and see the magnificent display of lights. It's very beautiful.</t>
  </si>
  <si>
    <t>AMORN boonmee</t>
  </si>
  <si>
    <t>Venue of the Provincial Administrative Organization There are occasional activities. and is the location of the auditorium.</t>
  </si>
  <si>
    <t>GTBO DotArai</t>
  </si>
  <si>
    <t>Moderna vaccines are available for booking for the public with a budget from Chiang Mai Provincial Administrative Organization. Register for free online with Chiang Mai Provincial Administrative Organization. The vaccination site has beautiful flower arrangements.</t>
  </si>
  <si>
    <t>ทสย รัตนวาปี</t>
  </si>
  <si>
    <t>The flower arrangement is very beautiful.</t>
  </si>
  <si>
    <t>ช. ไชยา</t>
  </si>
  <si>
    <t>Royal Flower Garden 2024. Travel to Lanna in the cool, cool weather. Beautiful flowers and beautiful women.</t>
  </si>
  <si>
    <t>45vanv Vip</t>
  </si>
  <si>
    <t>The charm of Chiang Mai's beautiful flowers</t>
  </si>
  <si>
    <t>สุชาฎา แซหมื่อ</t>
  </si>
  <si>
    <t>The atmosphere is good, the food is good. I've been here many times and it's always good. The staff are very cute.</t>
  </si>
  <si>
    <t>GM.Sumetee Musikapong</t>
  </si>
  <si>
    <t>The Chiang Mai Provincial Administrative Organization's Winter Flower and Ornamental Plant Festival is a spectacular event. The event will run until February 15, 2022, both day and night.</t>
  </si>
  <si>
    <t>แจ่มนภา สมการ</t>
  </si>
  <si>
    <t>Chalermprakiat Park is very beautiful. Come see the flower and light and sound show.</t>
  </si>
  <si>
    <t>KoReCoMBo InVKeR</t>
  </si>
  <si>
    <t>The atmosphere is good, you can come sit and relax by the water. The place is quite good. If you come, please help keep it clean.</t>
  </si>
  <si>
    <t>Pimongkol Susena</t>
  </si>
  <si>
    <t>The event was very well organized and beautiful.</t>
  </si>
  <si>
    <t>Kratin Sanjunta</t>
  </si>
  <si>
    <t>It came out very well. It's very beautiful.</t>
  </si>
  <si>
    <t>로커리</t>
  </si>
  <si>
    <t>It didn't sound like a coincidence, but I really liked it. It was the most memorable memory during my one-month trip.</t>
  </si>
  <si>
    <t>Prathuan Prathueangsaenyakorn</t>
  </si>
  <si>
    <t>The event was very beautifully organized.</t>
  </si>
  <si>
    <t>Kessara Sawangwong Crutchley</t>
  </si>
  <si>
    <t>I'm not disappointed. Chiang Mai Provincial Administrative Organization (PAO) has good management. Even the bathrooms are clean. The COVID-19 screening is in accordance with regulations. Don't miss it.</t>
  </si>
  <si>
    <t>Poopae Jariyakorn</t>
  </si>
  <si>
    <t>Beautiful flowers, beautiful lights, lots of people, friendly and lovely. It's a fun place to walk around.</t>
  </si>
  <si>
    <t>อินทิรา เมฆสองสี</t>
  </si>
  <si>
    <t>It's very beautiful. Go visit, you won't be disappointed. Go in the evening when the sun is setting and the wind is blowing. It's very beautiful. The flowers are very beautiful.</t>
  </si>
  <si>
    <t>Wisawakrom Chueachan</t>
  </si>
  <si>
    <t>Take it, one thumb. Take it, two thumbs.</t>
  </si>
  <si>
    <t>plavarn sampansapawa</t>
  </si>
  <si>
    <t>Beautiful view, good weather, suitable for exercising.</t>
  </si>
  <si>
    <t>Somboon Lawsuwan (Leklaw Lawsuwan)</t>
  </si>
  <si>
    <t>Beautiful and spectacular, the lights at night, the air is cool and refreshing with a variety of fragrant flowers and beautiful flowers.</t>
  </si>
  <si>
    <t>Biinny Lee</t>
  </si>
  <si>
    <t>🙂 …</t>
  </si>
  <si>
    <t>ประสงค์ ภณิดาภร</t>
  </si>
  <si>
    <t>Beautiful garden</t>
  </si>
  <si>
    <t>The Sky Cozy</t>
  </si>
  <si>
    <t>I like to come and walk here. The atmosphere is very good.</t>
  </si>
  <si>
    <t>Pathitta Khetarun</t>
  </si>
  <si>
    <t>There is a very beautiful statue of Lord Ganesha.</t>
  </si>
  <si>
    <t>Narin Masjungreed</t>
  </si>
  <si>
    <t>4 years ago</t>
  </si>
  <si>
    <t>There are beautiful artworks that convey a lot of depth, and the development of planting flowers and trees in the front is very beautiful. 🙏✨ …</t>
  </si>
  <si>
    <t>Andrei Apetroae</t>
  </si>
  <si>
    <t>Very nice, just before New Year's Eve a lot of stalls (food, drinks, local products). Great atmosphere.</t>
  </si>
  <si>
    <t>Sit Boon</t>
  </si>
  <si>
    <t>annual flower festival</t>
  </si>
  <si>
    <t>Wanida Prarasri</t>
  </si>
  <si>
    <t>There are a lot of bathrooms.</t>
  </si>
  <si>
    <t>Warit Knt</t>
  </si>
  <si>
    <t>Very beautiful. Very wide. I couldn't walk around the whole place. It was also beautiful during the event.</t>
  </si>
  <si>
    <t>นายเจือยศ ศรีธฺวงค์</t>
  </si>
  <si>
    <t>IWASAKI SHIGERU</t>
  </si>
  <si>
    <t>The beautiful flowers are lit up and it's amazing😆 …</t>
  </si>
  <si>
    <t>Saowarote Kantachai</t>
  </si>
  <si>
    <t>Very beautiful. Suitable for exercising.</t>
  </si>
  <si>
    <t>pss _li</t>
  </si>
  <si>
    <t>Beautiful, spacious garden. Often holds events.</t>
  </si>
  <si>
    <t>Anzhelika Trofimova</t>
  </si>
  <si>
    <t>Very beautiful!</t>
  </si>
  <si>
    <t>กวิตา คงเพชรศักดิ์</t>
  </si>
  <si>
    <t>Atmosphere, beautiful view</t>
  </si>
  <si>
    <t>มาโนช พงษ์พัฒน์</t>
  </si>
  <si>
    <t>beautiful, vast</t>
  </si>
  <si>
    <t>Dominique Claveres</t>
  </si>
  <si>
    <t>Edited 8 months ago</t>
  </si>
  <si>
    <t>A must-see, flowerbeds as far as the eye can see and in all colors.</t>
  </si>
  <si>
    <t>Chanisa Kongon</t>
  </si>
  <si>
    <t>The shop is not well organized and too difficult to walk around.</t>
  </si>
  <si>
    <t>Jing Ruan</t>
  </si>
  <si>
    <t>Great place to relax and unwind</t>
  </si>
  <si>
    <t>sopon chantapattanatam</t>
  </si>
  <si>
    <t>The flowers in the garden are so beautiful right now. You must come and see them.</t>
  </si>
  <si>
    <t>Марат Сакаев</t>
  </si>
  <si>
    <t>Cool place in the evening flowers, the lighting is magical, I definitely recommend it to those who love flowers.</t>
  </si>
  <si>
    <t>Newzii Latda</t>
  </si>
  <si>
    <t>The flower festival is very beautiful. The winter festival food is expensive. There are no price tags.</t>
  </si>
  <si>
    <t>ชื่น ค่ะ</t>
  </si>
  <si>
    <t>The flowers, lights and colorful lights are very beautiful and there are various products.</t>
  </si>
  <si>
    <t>אלונה קרגין</t>
  </si>
  <si>
    <t>The place is small, but very nice. They speak all languages. Warm people with a sense of humor. Admission 200 vetim after the show. Worth it.</t>
  </si>
  <si>
    <t>Chaiyut Wiriyarangsi</t>
  </si>
  <si>
    <t>When I went, there was both the Red Cross Fair and the flower fair. It was very beautiful.</t>
  </si>
  <si>
    <t>gerard bouyer</t>
  </si>
  <si>
    <t>No flowers, not the right season, go there during the flower festival</t>
  </si>
  <si>
    <t>Vichuta Diloksambandh</t>
  </si>
  <si>
    <t>Watching the flower festival at night is strange, beautiful, and not hot. It's also good.</t>
  </si>
  <si>
    <t>ศักดิ์ชัย อาทรเกตุ</t>
  </si>
  <si>
    <t>There is a jogging area, and there aren't many people.</t>
  </si>
  <si>
    <t>สุริยา เสืออุดม</t>
  </si>
  <si>
    <t>very beautiful</t>
  </si>
  <si>
    <t>Илья Спасский</t>
  </si>
  <si>
    <t>Very beautiful</t>
  </si>
  <si>
    <t>Anny Darlene</t>
  </si>
  <si>
    <t>Beautiful view, good atmosphere. Come here often. I like it.</t>
  </si>
  <si>
    <t>Pongsak Sumetudom</t>
  </si>
  <si>
    <t>It's beautiful and makes me feel less tired.</t>
  </si>
  <si>
    <t>ประมวล จุ่มแก้ว</t>
  </si>
  <si>
    <t>The atmosphere is very good, especially in the evening.</t>
  </si>
  <si>
    <t>Ratthasarth Rattanawong</t>
  </si>
  <si>
    <t>Free entry, very worthwhile.</t>
  </si>
  <si>
    <t>Ho</t>
  </si>
  <si>
    <t>Where the flower festival is held. Healing with flowers for about an hour.</t>
  </si>
  <si>
    <t>Mookam LittlePig</t>
  </si>
  <si>
    <t>It's so beautiful. Beautiful flowers.</t>
  </si>
  <si>
    <t>Ladda Ninbunjun</t>
  </si>
  <si>
    <t>Very beautiful. Go early in the morning when there aren't many people.</t>
  </si>
  <si>
    <t>Visut Sanguansangchaikun</t>
  </si>
  <si>
    <t>Not far from the city, convenient travel, very beautiful flowers.</t>
  </si>
  <si>
    <t>Kanhatai Yothawang</t>
  </si>
  <si>
    <t>Beautiful flowers, parking available</t>
  </si>
  <si>
    <t>sakesan yamyaun</t>
  </si>
  <si>
    <t>Miro Sara</t>
  </si>
  <si>
    <t>The orchid, Casablanca lily, hydrangea, and rose sections are spectacular.</t>
  </si>
  <si>
    <t>chard</t>
  </si>
  <si>
    <t>Arrange a beautiful flower arrangement.</t>
  </si>
  <si>
    <t>김원영</t>
  </si>
  <si>
    <t>There's nothing if you go in January. There's nothing in March.</t>
  </si>
  <si>
    <t>Raynoo Issarachevawat</t>
  </si>
  <si>
    <t>There is no charge. Very beautiful, both the arrangement and the flowers.</t>
  </si>
  <si>
    <t>เกียรติชนินทร์ พัฒนบุญแสน</t>
  </si>
  <si>
    <t>Still beautiful even after the exhibition period has passed.</t>
  </si>
  <si>
    <t>Be super Itsingha</t>
  </si>
  <si>
    <t>Beautiful, convenient, clean and safe</t>
  </si>
  <si>
    <t>VEGAN for me. th</t>
  </si>
  <si>
    <t>Beautiful winter garden with spectacular light and sound fountains.</t>
  </si>
  <si>
    <t>Anuphol</t>
  </si>
  <si>
    <t>Great atmosphere</t>
  </si>
  <si>
    <t>muay</t>
  </si>
  <si>
    <t>wide</t>
  </si>
  <si>
    <t>Suphatsara Khunyotying</t>
  </si>
  <si>
    <t>Yuan Suwit</t>
  </si>
  <si>
    <t>beautiful</t>
  </si>
  <si>
    <t>Airno FPV</t>
  </si>
  <si>
    <t>The flowers are arranged very beautifully.</t>
  </si>
  <si>
    <t>B A N D A R</t>
  </si>
  <si>
    <t>beautiful garden</t>
  </si>
  <si>
    <t>chidsanupong suwannapuceh</t>
  </si>
  <si>
    <t>Very beautiful, cool weather.</t>
  </si>
  <si>
    <t>piyaw was</t>
  </si>
  <si>
    <t>Beautiful, lots of food.</t>
  </si>
  <si>
    <t>อติมา กะรัตน์</t>
  </si>
  <si>
    <t>Easy to travel to, spacious place, suitable for relaxation</t>
  </si>
  <si>
    <t>Thankorn Tansuwongs</t>
  </si>
  <si>
    <t>Stop by to get your fourth Moderna booster shot.</t>
  </si>
  <si>
    <t>杜树财</t>
  </si>
  <si>
    <t>It was a very beautiful atmosphere, great weather.</t>
  </si>
  <si>
    <t>Puvanat Ghabkham</t>
  </si>
  <si>
    <t>Beautiful, full of native flowers</t>
  </si>
  <si>
    <t>อรัญ ศรีสารี</t>
  </si>
  <si>
    <t>Beautiful and Pleasant</t>
  </si>
  <si>
    <t>Napa Napa</t>
  </si>
  <si>
    <t>I like expensive things like medicine/clothes.</t>
  </si>
  <si>
    <t>Molee Siripanyaporn</t>
  </si>
  <si>
    <t>There are more shops than flowers.</t>
  </si>
  <si>
    <t>Surachai Pholpo</t>
  </si>
  <si>
    <t>Very beautiful. Many different flowers.</t>
  </si>
  <si>
    <t>UHOO</t>
  </si>
  <si>
    <t>Good, good atmosphere</t>
  </si>
  <si>
    <t>DANA STEFAN</t>
  </si>
  <si>
    <t>A delight!</t>
  </si>
  <si>
    <t>1000 ทาง</t>
  </si>
  <si>
    <t>Ruiz Isabelle</t>
  </si>
  <si>
    <t>Magnificent...Thai people are strong.</t>
  </si>
  <si>
    <t>Suthep Hirunsri</t>
  </si>
  <si>
    <t>santirote keatsirirote</t>
  </si>
  <si>
    <t>Beautiful garden, suitable for walking and relaxing.</t>
  </si>
  <si>
    <t>อาตี๋น้อย ร้อยล้าน</t>
  </si>
  <si>
    <t>90s floral work</t>
  </si>
  <si>
    <t>มานะ ทองแฉล้ม</t>
  </si>
  <si>
    <t>ติณ ณา</t>
  </si>
  <si>
    <t>อนุชา หมื่นตุ้ม</t>
  </si>
  <si>
    <t>Spacious, lots of parking space</t>
  </si>
  <si>
    <t>Everything by Pimmy</t>
  </si>
  <si>
    <t>Well organized, beautiful garden</t>
  </si>
  <si>
    <t>จันทร์จ้า สามะลี</t>
  </si>
  <si>
    <t>Beautiful garden, shady, good weather</t>
  </si>
  <si>
    <t>มนตรี ถ่ายเอกสาร</t>
  </si>
  <si>
    <t>Beautiful, shady, cool and comfortable</t>
  </si>
  <si>
    <t>Kanlayanit KP Pangprasert</t>
  </si>
  <si>
    <t>The garden is very beautiful.</t>
  </si>
  <si>
    <t>nakul pokpong</t>
  </si>
  <si>
    <t>Beautiful, worth walking around</t>
  </si>
  <si>
    <t>เบิร์ด. เลี่ยมพระ</t>
  </si>
  <si>
    <t>Tao Saengtor</t>
  </si>
  <si>
    <t>Beautiful, spacious area</t>
  </si>
  <si>
    <t>Jen Jenjira</t>
  </si>
  <si>
    <t>Worth visiting</t>
  </si>
  <si>
    <t>พิศมัย รักกฏหมาย</t>
  </si>
  <si>
    <t>Narttat</t>
  </si>
  <si>
    <t>The atmosphere is very good 😂 …</t>
  </si>
  <si>
    <t>เทอดศักดิ์ ปันยูร</t>
  </si>
  <si>
    <t>Songgrost Buranapong</t>
  </si>
  <si>
    <t>The most joyful and proud moment in my life</t>
  </si>
  <si>
    <t>Dr. Rattanaporn Tanasirijiranont</t>
  </si>
  <si>
    <t>Pipat Wiwatpanyaporn</t>
  </si>
  <si>
    <t>There are many varieties of flowers.</t>
  </si>
  <si>
    <t>Nattakorn P.</t>
  </si>
  <si>
    <t>Take good care of the area.</t>
  </si>
  <si>
    <t>จิระพงษ์ อิ่มประสงค์</t>
  </si>
  <si>
    <t>ไปอีกแระ paiekrae</t>
  </si>
  <si>
    <t>Beautiful flowers</t>
  </si>
  <si>
    <t>TaCK</t>
  </si>
  <si>
    <t>That's enough.</t>
  </si>
  <si>
    <t>NAT ฯ</t>
  </si>
  <si>
    <t>Beautiful, refreshing</t>
  </si>
  <si>
    <t>Chairat Pansuvannajit</t>
  </si>
  <si>
    <t>Good weather, beautiful flowers</t>
  </si>
  <si>
    <t>Vim Aphichet</t>
  </si>
  <si>
    <t>ying Changnoi</t>
  </si>
  <si>
    <t>ทรงวุฒิ ทับทอง</t>
  </si>
  <si>
    <t>อัญญา กุลวิพัชร์</t>
  </si>
  <si>
    <t>Kob Juti</t>
  </si>
  <si>
    <t>Chiang Mai Magic Festival</t>
  </si>
  <si>
    <t>Pim J</t>
  </si>
  <si>
    <t>Beautiful, spacious</t>
  </si>
  <si>
    <t>Nattareya Tarapan</t>
  </si>
  <si>
    <t>Lalason Samudtha</t>
  </si>
  <si>
    <t>Very shady</t>
  </si>
  <si>
    <t>Young Chan Kim</t>
  </si>
  <si>
    <t>Flower Festival!!!</t>
  </si>
  <si>
    <t>Ceee 3457</t>
  </si>
  <si>
    <t>good</t>
  </si>
  <si>
    <t>Benchamat Jompeang</t>
  </si>
  <si>
    <t>Beautiful and refreshing flower garden</t>
  </si>
  <si>
    <t>ญาณวุฒิ เทโวขัติ</t>
  </si>
  <si>
    <t>beautiful flowers</t>
  </si>
  <si>
    <t>เสกสันต์ ครองสมบัติ</t>
  </si>
  <si>
    <t>The air conditioning is just right.</t>
  </si>
  <si>
    <t>กนกรัตน์ จันทร์แจ้ง</t>
  </si>
  <si>
    <t>Chiang Mai Chalermprakiat Park</t>
  </si>
  <si>
    <t>Korakoch Papiwong</t>
  </si>
  <si>
    <t>beautiful flower trees</t>
  </si>
  <si>
    <t>ยุทธนา แก้วบัว</t>
  </si>
  <si>
    <t>ชัยชาญ บุญประสาร</t>
  </si>
  <si>
    <t>Tulaporn Pongjaturavit</t>
  </si>
  <si>
    <t>Beautiful, lots of flowers</t>
  </si>
  <si>
    <t>เจริญ โพธิวงศ์</t>
  </si>
  <si>
    <t>Yoyo的旅行日记</t>
  </si>
  <si>
    <t>What a nice view</t>
  </si>
  <si>
    <t>Yupharet !!!</t>
  </si>
  <si>
    <t>กาแฟ โบราณแดนคนดีศรีสำโรง</t>
  </si>
  <si>
    <t>Panida Boonta</t>
  </si>
  <si>
    <t>Excellent management</t>
  </si>
  <si>
    <t>pat Pattamawan</t>
  </si>
  <si>
    <t>Pom Pam</t>
  </si>
  <si>
    <t>Edited 11 months ago</t>
  </si>
  <si>
    <t>Hello Hello</t>
  </si>
  <si>
    <t>ประพันธ์ จันทร์แจ้ง (บุ๊ค)</t>
  </si>
  <si>
    <t>Chiang Mai Royal Park</t>
  </si>
  <si>
    <t>สิทธิศักดิ์ คณาธิต</t>
  </si>
  <si>
    <t>It's beautiful.</t>
  </si>
  <si>
    <t>clement Rousseau</t>
  </si>
  <si>
    <t>Gorgeous</t>
  </si>
  <si>
    <t>รัตนกร สุคันธะ</t>
  </si>
  <si>
    <t>18 hours ago</t>
  </si>
  <si>
    <t>It's great to have a place to exercise and have a picnic, but it would be even better if there were better vendors and parking. I feel like running around worrying about what might happen to my car. As for the animals in the park, they're fun, but I'm worried that if they stay there for a long time, they might smell unpleasant.</t>
  </si>
  <si>
    <t>jamjureefood doisaket</t>
  </si>
  <si>
    <t>a day ago</t>
  </si>
  <si>
    <t>The sun is shady, the wind is cool, the lake is clear and the view of Doi Suthep is beautiful.</t>
  </si>
  <si>
    <t>Soyuni</t>
  </si>
  <si>
    <t>Chiang Mai Chaloem Phrakiat Park is a quiet, pleasant place for a stroll during the day, but once the sun goes down, it transforms into a completely different atmosphere. In the evening, a local night market opens around the park, brimming with a variety of food and stalls. From grilled meat skewers to papaya salad (som tam), mango rice, and fresh fruit juices, I could truly experience the flavors of Thailand. The prices were affordable, so I could enjoy as much as I wanted, and I loved the atmosphere of sitting on a park bench and enjoying dinner with the locals. There are few tourists, and many locals, so it's a great place to experience authentic Chiang Mai life. I had some grilled fish and shrimp salad here from local Chiang Mai friends, and they were delicious. It's the perfect place to enjoy a stroll through the park, people-watch, and the night market food all in one place. A nice local park that becomes lively at night. Lots of street food and friendly local vibes. Great place to walk, eat, and enjoy Chiang Mai’s atmosphere.🇹🇭🙏♥️</t>
  </si>
  <si>
    <t>Karawat _u</t>
  </si>
  <si>
    <t>2 days ago</t>
  </si>
  <si>
    <t>The atmosphere is good, the area is very spacious, not stuffy even though there are a lot of people, lots of parking, there are small animals like birds, swans, ducks, goats, chickens, making it more interesting, children like it, there is a lot of space to walk and run and exercise, there is light in every area.</t>
  </si>
  <si>
    <t>蘇小楓</t>
  </si>
  <si>
    <t>Don't just stay in the Old Town when you visit Chiang Mai. City Park is a fantastic place to explore, take photos, and exercise. There's also a nearby night market, guaranteed to be cheaper and more delicious than other night markets. It's not too hot or crowded, and the food isn't too repetitive. Are you still stuck in the crowded tourist night markets? Give this place a try...</t>
  </si>
  <si>
    <t>Thant Thiri Maung</t>
  </si>
  <si>
    <t>The atmosphere is really great. But if you want to avoid crowd, it is better to visit in the morning. In the evening, a lot of young people are bustling in the area.</t>
  </si>
  <si>
    <t>Carl Miele</t>
  </si>
  <si>
    <t>Gorgeous, expansive park with paved, branched walking trails. Old growth trees fringe a massive reservoir. We felt so relaxed there.</t>
  </si>
  <si>
    <t>Wit Hmone Phoo Pwint Thu</t>
  </si>
  <si>
    <t>LATE EVENING RELAXING PLACE Chiang Mai Pao Park also known as Flower Garden is a popular recreational and cultural destination located in Chiang Mai, Thailand. The park offers a blend of natural beauty, outdoor activities, and cultural attractions, making it an ideal spot for both locals and tourists. Known for its lush greenery and serene environment, visitors can enjoy walking trails, picnic areas, and scenic views. The park often hosts cultural events, traditional Thai performances, and local markets, providing an opportunity to experience Northern Thai culture. Additionally, it features art installations and activities suitable for families and groups, making it a versatile destination for leisure and learning. Its accessibility and well-maintained facilities further enhance its appeal as a must-visit location in Chiang Mai.</t>
  </si>
  <si>
    <t>Girl Player PH</t>
  </si>
  <si>
    <t>This is a massive park. Very impressive for it's beautiful and cleanliness. There are plenty of flowers this month as the place is being prepped for the Flower Festival. I've never seen any park as beautiful as this place. If you're already tired from walking and checking the lovely flowers, there are plenty of food stalls on the other side of the park where you can select a huge selection of Thai food and other dishes.</t>
  </si>
  <si>
    <t>Anje Mot</t>
  </si>
  <si>
    <t>On going 2 events at the same time, the flower festival &amp; hoka chiang mai by UTMB race attracted thousands of tourists &amp; locals. Ada food trucks at the camping ground for tents &amp; camper van. Ada muay thai show. Countless food/misc stalls selling all kinds. Kawasan luas &amp; parking space banyak. Memang meriah.</t>
  </si>
  <si>
    <t>Gabriel Castillo</t>
  </si>
  <si>
    <t>Beautiful park with great view of the mountains! Best in the Winter and during the flowers festival</t>
  </si>
  <si>
    <t>David Sala</t>
  </si>
  <si>
    <t>Beautiful place and wide open spaces for many activities. Great photo shoot location as well with fields, white fences, and many lakes.</t>
  </si>
  <si>
    <t>Zehn Douze</t>
  </si>
  <si>
    <t>A place for walking around with fresh air and great atmosphere. Especially when its in the rainy season.</t>
  </si>
  <si>
    <t>Clyde Brown</t>
  </si>
  <si>
    <t>Edited 7 months ago</t>
  </si>
  <si>
    <t>Great place to hang out , exercise , practice yoga and there’s Koi you may feed.</t>
  </si>
  <si>
    <t>Arvind G B</t>
  </si>
  <si>
    <t>Lovely little park with nice views and some lakes.</t>
  </si>
  <si>
    <t>Random Rick</t>
  </si>
  <si>
    <t>Nice outdoor place for exercise and relaxing.</t>
  </si>
  <si>
    <t>Yar Zar</t>
  </si>
  <si>
    <t>Nice place to walk and relax at early morning and evening</t>
  </si>
  <si>
    <t>aung phyo</t>
  </si>
  <si>
    <t>A really enjoyable park , sometimes there will be events, so you better to not miss them</t>
  </si>
  <si>
    <t>Alain Martinoli</t>
  </si>
  <si>
    <t>Good but not finish relaxing place</t>
  </si>
  <si>
    <t>Loi Zaw</t>
  </si>
  <si>
    <t>Very nice park The park is very wide there many places to visit and the view is very beautiful 🇹🇭🇹🇭🇹🇭🇹🇭😘😘👍👍 …</t>
  </si>
  <si>
    <t>Lucia Hall</t>
  </si>
  <si>
    <t>Went here NYE to watch the dignitaries and locals together with the monks chanting in the NY</t>
  </si>
  <si>
    <t>Win PoPo Aung</t>
  </si>
  <si>
    <t>New nice place to chill</t>
  </si>
  <si>
    <t>Live Ringo</t>
  </si>
  <si>
    <t>Highly recommended. Super chill !</t>
  </si>
  <si>
    <t>Egor</t>
  </si>
  <si>
    <t>The place is amazing!</t>
  </si>
  <si>
    <t>Đặng Thành Trung</t>
  </si>
  <si>
    <t>Công viên đẹp, sạch sẽ và rất rộng ở Chiangmai. Tôi đã đến đây để tham gia giải chạy Hoka Chiangmai Thailand by UTMB. Rất thích nơi này.</t>
  </si>
  <si>
    <t>Khai Vu</t>
  </si>
  <si>
    <t>Công viên rất đẹp, đáng để thăm khi tới Chiang Mai</t>
  </si>
  <si>
    <t>Mork Korn</t>
  </si>
  <si>
    <t>Good for Refresh yourself here and relax</t>
  </si>
  <si>
    <t>Samet Özsüleyman</t>
  </si>
  <si>
    <t>Güzel standart bir park.</t>
  </si>
  <si>
    <t>Attention endroit très touristique, beaucoup de locaux et étrangers. Faites le tour entier du lac pour trouver des paillotes sur l'eau plus tranquille.</t>
  </si>
  <si>
    <t>Dmitrii Gorbatenko</t>
  </si>
  <si>
    <t>Great park! Must visit place in Chiang Mai!!! A great park for walking, jogging, or simply relaxing and enjoying the beautiful views of the mountains and lake. It's not crowded on weekdays, but there are sometimes concerts on weekends. There's a small market near the exit where you can buy drinks and food. A great place. 👍</t>
  </si>
  <si>
    <t>Chiang Mai Chaloem Phrakiat Park and Chiang Mai P.A.O. Public Park are two names often listed separately, but in reality, they connect and fall under the same green area. Together, they create one of the nicest open spaces in Chiang Mai for walking, jogging, or simply enjoying nature. Chaloem Phrakiat Park is a pleasant spot with walking paths, benches, and a calm atmosphere that makes it perfect for a morning walk or light exercise. The views are especially beautiful in the early hours when the sun rises and the park feels peaceful. Locals often come here for jogging, stretching, or group exercises, giving it a lively yet relaxed energy. Right next to it, P.A.O. Public Park feels even greener and more refreshing. It has plenty of tall shady trees, wide grassy grounds, and small water canals running through, which add to its natural beauty. This section of the park is ideal for sitting quietly, reading, or enjoying the cool breeze in the shade. Overall, both parks together offer a refreshing escape from the city’s busy streets. They may be known by different names, but they connect seamlessly and give visitors a chance to enjoy greenery, exercise, and a bit of fresh air in Chiang Mai. Highly recommended if you want a calm and healthy start to your day.</t>
  </si>
  <si>
    <t>Urailisa J</t>
  </si>
  <si>
    <t>Unreal for pet-friendly. In the past, all areas that allowed pets coming. at present there are limit zone. However there is valve for dog drinking but the pipe has been cut. there are box of plastic bag for dogs’ poo but thereis not plasticbag. Moreover, there is no bin so somebody put the poo bag in the box of plastic bag. please take care this zone. This place will be useful following the policy. Please support bins🗑️ &amp; rest room🚻. We are looking forward to come again</t>
  </si>
  <si>
    <t>Aganit Choolam</t>
  </si>
  <si>
    <t>It is an open and public area with a great panoramic view in Chiangmai. This is a must visit place!! Recommend to come around 5 pm onwards. You can enjoy a greenery, mountain view, clear sky and an airplane in an amazing view</t>
  </si>
  <si>
    <t>Michelle Cuajao</t>
  </si>
  <si>
    <t>I love this place , the flowers , the resevoir . Its the perfect place to spend your time with either your family or a partner . I saw some students here as well and also people doing their exercise</t>
  </si>
  <si>
    <t>Bom Junior</t>
  </si>
  <si>
    <t>This place is suitable to be a new check-in point in Chiang Mai. There is a large flower garden, a large reservoir, a good atmosphere, suitable for jogging in the morning, and a view of Doi Suthep mountain and green grass hills.</t>
  </si>
  <si>
    <t>Andrew DH Lee</t>
  </si>
  <si>
    <t>This is a public park in Chiangmai. Open 24 hours. Especially sunset time is really beautiful. You can enjoy not only walking but aldi jogging as well. Also a good place for picnic.</t>
  </si>
  <si>
    <t>yumi toshizawa</t>
  </si>
  <si>
    <t>Pet friendly park 🐶❣️☀️ plenty of parking. Good mountain view.</t>
  </si>
  <si>
    <t>Jetiya Klinmetee</t>
  </si>
  <si>
    <t>jokking and running 👍 Fresh wind and fresh air at this park if you need to relax please come :) …</t>
  </si>
  <si>
    <t>Halimatu Sa'diah</t>
  </si>
  <si>
    <t>Chiang Mai P.A.O. Public Park is a big, peaceful green space perfect for relaxing or getting active. 🌳🚶‍♀️ It surrounds a lovely reservoir with views of Doi Suthep in the distance, great for walking, jogging, or just enjoying nature. 🏞️ The park is clean and family-friendly, with wide paths, grassy areas, and even space for picnics. 🧺🐶 It’s also pet-friendly, and sometimes you’ll see colorful parrots flying in the aviary! 🦜🐾 I went jogging here with my fiancé, and we totally got lost trying to find our way around! 😅 We even tried to cross the river, don’t do it! There’s literally nothing on the other side but more confusion 😂🌊 Still, it was a fun adventure and a great memory. 💕👟</t>
  </si>
  <si>
    <t>Wordcount</t>
  </si>
  <si>
    <t>value</t>
  </si>
  <si>
    <t>location</t>
  </si>
  <si>
    <t>reviews</t>
  </si>
  <si>
    <t>spacious</t>
  </si>
  <si>
    <t>clean</t>
  </si>
  <si>
    <t>comfortable</t>
  </si>
  <si>
    <t>bathroom</t>
  </si>
  <si>
    <t>decor</t>
  </si>
  <si>
    <t>parking</t>
  </si>
  <si>
    <t>walking</t>
  </si>
  <si>
    <t>convenient</t>
  </si>
  <si>
    <t>near</t>
  </si>
  <si>
    <t>street</t>
  </si>
  <si>
    <t>center</t>
  </si>
  <si>
    <t>mall</t>
  </si>
  <si>
    <t>close</t>
  </si>
  <si>
    <t>shopping</t>
  </si>
  <si>
    <t>fresh</t>
  </si>
  <si>
    <t>tidy</t>
  </si>
  <si>
    <t>cleanliness</t>
  </si>
  <si>
    <t>worth</t>
  </si>
  <si>
    <t>price</t>
  </si>
  <si>
    <t>expensive</t>
  </si>
  <si>
    <t>cheap</t>
  </si>
  <si>
    <t>cost</t>
  </si>
  <si>
    <t>affordable</t>
  </si>
  <si>
    <t>friendly</t>
  </si>
  <si>
    <t>staff</t>
  </si>
  <si>
    <t>management</t>
  </si>
  <si>
    <t>welcoming</t>
  </si>
  <si>
    <t>support</t>
  </si>
  <si>
    <t>team</t>
  </si>
  <si>
    <t>service</t>
  </si>
  <si>
    <t>calm</t>
  </si>
  <si>
    <t>quiet</t>
  </si>
  <si>
    <t>peaceful</t>
  </si>
  <si>
    <t>flower</t>
  </si>
  <si>
    <t>park</t>
  </si>
  <si>
    <t>festival</t>
  </si>
  <si>
    <t>garden</t>
  </si>
  <si>
    <t>show</t>
  </si>
  <si>
    <t>night</t>
  </si>
  <si>
    <t>walk</t>
  </si>
  <si>
    <t>great</t>
  </si>
  <si>
    <t>total</t>
  </si>
  <si>
    <t>amenities</t>
  </si>
  <si>
    <t>Access &amp; Location</t>
  </si>
  <si>
    <t>Environment</t>
  </si>
  <si>
    <t>Facilities</t>
  </si>
  <si>
    <t>Activities &amp; Events</t>
  </si>
  <si>
    <t>Service &amp; Management</t>
  </si>
  <si>
    <t xml:space="preserve">Value </t>
  </si>
  <si>
    <t>Place</t>
  </si>
  <si>
    <t>Food</t>
  </si>
  <si>
    <t xml:space="preserve">activities </t>
  </si>
  <si>
    <t>winter</t>
  </si>
  <si>
    <t>relax</t>
  </si>
  <si>
    <t>Charming</t>
  </si>
  <si>
    <t xml:space="preserve">Wide </t>
  </si>
  <si>
    <t>weather</t>
  </si>
  <si>
    <t>exercise</t>
  </si>
  <si>
    <t>jogging</t>
  </si>
  <si>
    <t>music</t>
  </si>
  <si>
    <t>beauty</t>
  </si>
  <si>
    <t>locals</t>
  </si>
  <si>
    <t>lake</t>
  </si>
  <si>
    <t>wonderful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</si>
</sst>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charset val="222"/>
      <scheme val="minor"/>
    </font>
    <font>
      <sz val="11"/>
      <color theme="1"/>
      <name val="Aptos Narrow"/>
      <family val="2"/>
      <charset val="222"/>
      <scheme val="minor"/>
    </font>
    <font>
      <sz val="18"/>
      <color theme="3"/>
      <name val="Aptos Display"/>
      <family val="2"/>
      <charset val="222"/>
      <scheme val="major"/>
    </font>
    <font>
      <b/>
      <sz val="15"/>
      <color theme="3"/>
      <name val="Aptos Narrow"/>
      <family val="2"/>
      <charset val="222"/>
      <scheme val="minor"/>
    </font>
    <font>
      <b/>
      <sz val="13"/>
      <color theme="3"/>
      <name val="Aptos Narrow"/>
      <family val="2"/>
      <charset val="222"/>
      <scheme val="minor"/>
    </font>
    <font>
      <b/>
      <sz val="11"/>
      <color theme="3"/>
      <name val="Aptos Narrow"/>
      <family val="2"/>
      <charset val="222"/>
      <scheme val="minor"/>
    </font>
    <font>
      <sz val="11"/>
      <color rgb="FF006100"/>
      <name val="Aptos Narrow"/>
      <family val="2"/>
      <charset val="222"/>
      <scheme val="minor"/>
    </font>
    <font>
      <sz val="11"/>
      <color rgb="FF9C0006"/>
      <name val="Aptos Narrow"/>
      <family val="2"/>
      <charset val="222"/>
      <scheme val="minor"/>
    </font>
    <font>
      <sz val="11"/>
      <color rgb="FF9C5700"/>
      <name val="Aptos Narrow"/>
      <family val="2"/>
      <charset val="222"/>
      <scheme val="minor"/>
    </font>
    <font>
      <sz val="11"/>
      <color rgb="FF3F3F76"/>
      <name val="Aptos Narrow"/>
      <family val="2"/>
      <charset val="222"/>
      <scheme val="minor"/>
    </font>
    <font>
      <b/>
      <sz val="11"/>
      <color rgb="FF3F3F3F"/>
      <name val="Aptos Narrow"/>
      <family val="2"/>
      <charset val="222"/>
      <scheme val="minor"/>
    </font>
    <font>
      <b/>
      <sz val="11"/>
      <color rgb="FFFA7D00"/>
      <name val="Aptos Narrow"/>
      <family val="2"/>
      <charset val="222"/>
      <scheme val="minor"/>
    </font>
    <font>
      <sz val="11"/>
      <color rgb="FFFA7D00"/>
      <name val="Aptos Narrow"/>
      <family val="2"/>
      <charset val="222"/>
      <scheme val="minor"/>
    </font>
    <font>
      <b/>
      <sz val="11"/>
      <color theme="0"/>
      <name val="Aptos Narrow"/>
      <family val="2"/>
      <charset val="222"/>
      <scheme val="minor"/>
    </font>
    <font>
      <sz val="11"/>
      <color rgb="FFFF0000"/>
      <name val="Aptos Narrow"/>
      <family val="2"/>
      <charset val="222"/>
      <scheme val="minor"/>
    </font>
    <font>
      <i/>
      <sz val="11"/>
      <color rgb="FF7F7F7F"/>
      <name val="Aptos Narrow"/>
      <family val="2"/>
      <charset val="222"/>
      <scheme val="minor"/>
    </font>
    <font>
      <b/>
      <sz val="11"/>
      <color theme="1"/>
      <name val="Aptos Narrow"/>
      <family val="2"/>
      <charset val="222"/>
      <scheme val="minor"/>
    </font>
    <font>
      <sz val="11"/>
      <color theme="0"/>
      <name val="Aptos Narrow"/>
      <family val="2"/>
      <charset val="222"/>
      <scheme val="minor"/>
    </font>
    <font>
      <sz val="11"/>
      <color rgb="FFFF0000"/>
      <name val="Aptos Narrow"/>
      <family val="2"/>
      <scheme val="minor"/>
    </font>
    <font>
      <b/>
      <sz val="11"/>
      <color rgb="FFFF0000"/>
      <name val="Aptos Narrow"/>
      <family val="2"/>
      <scheme val="minor"/>
    </font>
    <font>
      <b/>
      <sz val="11"/>
      <color theme="1"/>
      <name val="Aptos Narrow"/>
      <family val="2"/>
      <scheme val="minor"/>
    </font>
    <font>
      <sz val="11"/>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34" borderId="0" xfId="0" applyFill="1"/>
    <xf numFmtId="0" fontId="0" fillId="0" borderId="10" xfId="0" applyBorder="1" applyAlignment="1">
      <alignment horizontal="center" vertical="center"/>
    </xf>
    <xf numFmtId="0" fontId="0" fillId="0" borderId="10" xfId="0" applyBorder="1" applyAlignment="1">
      <alignment horizontal="center" vertical="center" wrapText="1"/>
    </xf>
    <xf numFmtId="0" fontId="19" fillId="0" borderId="10" xfId="0" applyFont="1" applyBorder="1"/>
    <xf numFmtId="0" fontId="18" fillId="0" borderId="10" xfId="0" applyFont="1" applyBorder="1" applyAlignment="1">
      <alignment horizontal="center" wrapText="1"/>
    </xf>
    <xf numFmtId="49" fontId="18" fillId="0" borderId="10" xfId="0" applyNumberFormat="1" applyFont="1" applyBorder="1" applyAlignment="1">
      <alignment horizontal="center"/>
    </xf>
    <xf numFmtId="0" fontId="0" fillId="0" borderId="0" xfId="0" applyAlignment="1">
      <alignment horizontal="center"/>
    </xf>
    <xf numFmtId="0" fontId="21" fillId="0" borderId="10" xfId="0" applyFont="1" applyBorder="1" applyAlignment="1">
      <alignment horizontal="center" vertical="center" wrapText="1"/>
    </xf>
    <xf numFmtId="0" fontId="19" fillId="0" borderId="0" xfId="0" applyFont="1"/>
    <xf numFmtId="0" fontId="0" fillId="33" borderId="0" xfId="0" applyFill="1" applyAlignment="1">
      <alignment horizontal="center" vertical="center"/>
    </xf>
    <xf numFmtId="0" fontId="0" fillId="0" borderId="0" xfId="0" applyAlignment="1">
      <alignment horizontal="center" vertical="center"/>
    </xf>
    <xf numFmtId="0" fontId="0" fillId="35" borderId="0" xfId="0" applyFill="1" applyAlignment="1">
      <alignment horizontal="center"/>
    </xf>
    <xf numFmtId="0" fontId="0" fillId="34" borderId="0" xfId="0" applyFill="1" applyAlignment="1">
      <alignment horizontal="center"/>
    </xf>
    <xf numFmtId="0" fontId="21" fillId="0" borderId="10" xfId="0" applyFont="1" applyBorder="1" applyAlignment="1">
      <alignment vertical="center" wrapText="1"/>
    </xf>
    <xf numFmtId="0" fontId="20" fillId="36" borderId="10" xfId="0" applyFont="1" applyFill="1" applyBorder="1"/>
    <xf numFmtId="0" fontId="21" fillId="0" borderId="10" xfId="0" applyFont="1" applyBorder="1"/>
    <xf numFmtId="0" fontId="21" fillId="0" borderId="10" xfId="0" applyFont="1" applyBorder="1" applyAlignment="1">
      <alignment horizontal="left" vertical="center" wrapText="1"/>
    </xf>
    <xf numFmtId="0" fontId="21" fillId="0" borderId="0" xfId="0" applyFont="1" applyAlignment="1">
      <alignment horizontal="center" vertical="center" wrapText="1"/>
    </xf>
    <xf numFmtId="0" fontId="21" fillId="0" borderId="0" xfId="0" applyFont="1" applyAlignment="1">
      <alignment horizontal="center" wrapText="1"/>
    </xf>
    <xf numFmtId="0" fontId="21" fillId="0" borderId="10" xfId="0" applyFont="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65A42-4DF2-4E2F-B04D-B2F29FFAF416}">
  <dimension ref="A1:G531"/>
  <sheetViews>
    <sheetView topLeftCell="A515" workbookViewId="0">
      <selection activeCell="G538" sqref="G538"/>
    </sheetView>
  </sheetViews>
  <sheetFormatPr defaultRowHeight="16.5" x14ac:dyDescent="0.45"/>
  <cols>
    <col min="3" max="3" width="9" style="7"/>
    <col min="4" max="4" width="28.83203125" customWidth="1"/>
    <col min="7" max="7" width="16.83203125" style="11" customWidth="1"/>
  </cols>
  <sheetData>
    <row r="1" spans="1:7" x14ac:dyDescent="0.45">
      <c r="A1" t="s">
        <v>0</v>
      </c>
      <c r="B1" t="s">
        <v>1</v>
      </c>
      <c r="C1" s="12" t="s">
        <v>2</v>
      </c>
      <c r="D1" s="13" t="s">
        <v>1053</v>
      </c>
      <c r="E1" t="s">
        <v>4</v>
      </c>
      <c r="G1" s="10" t="s">
        <v>5</v>
      </c>
    </row>
    <row r="2" spans="1:7" x14ac:dyDescent="0.45">
      <c r="A2" t="s">
        <v>6</v>
      </c>
      <c r="B2" t="s">
        <v>7</v>
      </c>
      <c r="C2" s="7">
        <v>5</v>
      </c>
      <c r="D2" t="s">
        <v>8</v>
      </c>
      <c r="G2" s="11" t="str">
        <f>IF(C2&gt;=4,"positive", IF(C2&gt;=3,"neutral","negative"))</f>
        <v>positive</v>
      </c>
    </row>
    <row r="3" spans="1:7" x14ac:dyDescent="0.45">
      <c r="A3" t="s">
        <v>9</v>
      </c>
      <c r="B3" t="s">
        <v>10</v>
      </c>
      <c r="C3" s="7">
        <v>5</v>
      </c>
      <c r="D3" t="s">
        <v>11</v>
      </c>
      <c r="G3" s="11" t="str">
        <f t="shared" ref="G3:G66" si="0">IF(C3&gt;=4,"positive", IF(C3&gt;=3,"neutral","negative"))</f>
        <v>positive</v>
      </c>
    </row>
    <row r="4" spans="1:7" x14ac:dyDescent="0.45">
      <c r="A4" t="s">
        <v>12</v>
      </c>
      <c r="B4" t="s">
        <v>13</v>
      </c>
      <c r="C4" s="7">
        <v>5</v>
      </c>
      <c r="D4" t="s">
        <v>14</v>
      </c>
      <c r="G4" s="11" t="str">
        <f t="shared" si="0"/>
        <v>positive</v>
      </c>
    </row>
    <row r="5" spans="1:7" x14ac:dyDescent="0.45">
      <c r="A5" t="s">
        <v>15</v>
      </c>
      <c r="B5" t="s">
        <v>10</v>
      </c>
      <c r="C5" s="7">
        <v>5</v>
      </c>
      <c r="D5" t="s">
        <v>16</v>
      </c>
      <c r="G5" s="11" t="str">
        <f t="shared" si="0"/>
        <v>positive</v>
      </c>
    </row>
    <row r="6" spans="1:7" x14ac:dyDescent="0.45">
      <c r="A6" t="s">
        <v>17</v>
      </c>
      <c r="B6" t="s">
        <v>13</v>
      </c>
      <c r="C6" s="7">
        <v>5</v>
      </c>
      <c r="D6" t="s">
        <v>18</v>
      </c>
      <c r="G6" s="11" t="str">
        <f t="shared" si="0"/>
        <v>positive</v>
      </c>
    </row>
    <row r="7" spans="1:7" x14ac:dyDescent="0.45">
      <c r="A7" t="s">
        <v>19</v>
      </c>
      <c r="B7" t="s">
        <v>20</v>
      </c>
      <c r="C7" s="7">
        <v>4</v>
      </c>
      <c r="D7" t="s">
        <v>21</v>
      </c>
      <c r="G7" s="11" t="str">
        <f t="shared" si="0"/>
        <v>positive</v>
      </c>
    </row>
    <row r="8" spans="1:7" x14ac:dyDescent="0.45">
      <c r="A8" t="s">
        <v>22</v>
      </c>
      <c r="B8" t="s">
        <v>23</v>
      </c>
      <c r="C8" s="7">
        <v>5</v>
      </c>
      <c r="D8" t="s">
        <v>24</v>
      </c>
      <c r="G8" s="11" t="str">
        <f t="shared" si="0"/>
        <v>positive</v>
      </c>
    </row>
    <row r="9" spans="1:7" x14ac:dyDescent="0.45">
      <c r="A9" t="s">
        <v>25</v>
      </c>
      <c r="B9" t="s">
        <v>26</v>
      </c>
      <c r="C9" s="7">
        <v>5</v>
      </c>
      <c r="D9" t="s">
        <v>27</v>
      </c>
      <c r="G9" s="11" t="str">
        <f t="shared" si="0"/>
        <v>positive</v>
      </c>
    </row>
    <row r="10" spans="1:7" x14ac:dyDescent="0.45">
      <c r="A10" t="s">
        <v>28</v>
      </c>
      <c r="B10" t="s">
        <v>23</v>
      </c>
      <c r="C10" s="7">
        <v>4</v>
      </c>
      <c r="D10" t="s">
        <v>29</v>
      </c>
      <c r="G10" s="11" t="str">
        <f t="shared" si="0"/>
        <v>positive</v>
      </c>
    </row>
    <row r="11" spans="1:7" x14ac:dyDescent="0.45">
      <c r="A11" t="s">
        <v>30</v>
      </c>
      <c r="B11" t="s">
        <v>31</v>
      </c>
      <c r="C11" s="7">
        <v>5</v>
      </c>
      <c r="D11" t="s">
        <v>32</v>
      </c>
      <c r="G11" s="11" t="str">
        <f t="shared" si="0"/>
        <v>positive</v>
      </c>
    </row>
    <row r="12" spans="1:7" x14ac:dyDescent="0.45">
      <c r="A12" t="s">
        <v>33</v>
      </c>
      <c r="B12" t="s">
        <v>20</v>
      </c>
      <c r="C12" s="7">
        <v>5</v>
      </c>
      <c r="D12" t="s">
        <v>34</v>
      </c>
      <c r="G12" s="11" t="str">
        <f t="shared" si="0"/>
        <v>positive</v>
      </c>
    </row>
    <row r="13" spans="1:7" x14ac:dyDescent="0.45">
      <c r="A13" t="s">
        <v>35</v>
      </c>
      <c r="B13" t="s">
        <v>31</v>
      </c>
      <c r="C13" s="7">
        <v>5</v>
      </c>
      <c r="D13" t="s">
        <v>36</v>
      </c>
      <c r="G13" s="11" t="str">
        <f t="shared" si="0"/>
        <v>positive</v>
      </c>
    </row>
    <row r="14" spans="1:7" x14ac:dyDescent="0.45">
      <c r="A14" t="s">
        <v>37</v>
      </c>
      <c r="B14" t="s">
        <v>38</v>
      </c>
      <c r="C14" s="7">
        <v>5</v>
      </c>
      <c r="D14" t="s">
        <v>39</v>
      </c>
      <c r="G14" s="11" t="str">
        <f t="shared" si="0"/>
        <v>positive</v>
      </c>
    </row>
    <row r="15" spans="1:7" x14ac:dyDescent="0.45">
      <c r="A15" t="s">
        <v>40</v>
      </c>
      <c r="B15" t="s">
        <v>23</v>
      </c>
      <c r="C15" s="7">
        <v>5</v>
      </c>
      <c r="D15" t="s">
        <v>41</v>
      </c>
      <c r="G15" s="11" t="str">
        <f t="shared" si="0"/>
        <v>positive</v>
      </c>
    </row>
    <row r="16" spans="1:7" x14ac:dyDescent="0.45">
      <c r="A16" t="s">
        <v>42</v>
      </c>
      <c r="B16" t="s">
        <v>26</v>
      </c>
      <c r="C16" s="7">
        <v>5</v>
      </c>
      <c r="D16" t="s">
        <v>43</v>
      </c>
      <c r="G16" s="11" t="str">
        <f t="shared" si="0"/>
        <v>positive</v>
      </c>
    </row>
    <row r="17" spans="1:7" x14ac:dyDescent="0.45">
      <c r="A17" t="s">
        <v>44</v>
      </c>
      <c r="B17" t="s">
        <v>26</v>
      </c>
      <c r="C17" s="7">
        <v>5</v>
      </c>
      <c r="D17" t="s">
        <v>45</v>
      </c>
      <c r="G17" s="11" t="str">
        <f t="shared" si="0"/>
        <v>positive</v>
      </c>
    </row>
    <row r="18" spans="1:7" x14ac:dyDescent="0.45">
      <c r="A18" t="s">
        <v>46</v>
      </c>
      <c r="B18" t="s">
        <v>23</v>
      </c>
      <c r="C18" s="7">
        <v>5</v>
      </c>
      <c r="D18" t="s">
        <v>47</v>
      </c>
      <c r="G18" s="11" t="str">
        <f t="shared" si="0"/>
        <v>positive</v>
      </c>
    </row>
    <row r="19" spans="1:7" x14ac:dyDescent="0.45">
      <c r="A19" t="s">
        <v>48</v>
      </c>
      <c r="B19" t="s">
        <v>31</v>
      </c>
      <c r="C19" s="7">
        <v>5</v>
      </c>
      <c r="D19" t="s">
        <v>49</v>
      </c>
      <c r="G19" s="11" t="str">
        <f t="shared" si="0"/>
        <v>positive</v>
      </c>
    </row>
    <row r="20" spans="1:7" x14ac:dyDescent="0.45">
      <c r="A20" t="s">
        <v>50</v>
      </c>
      <c r="B20" t="s">
        <v>26</v>
      </c>
      <c r="C20" s="7">
        <v>5</v>
      </c>
      <c r="D20" t="s">
        <v>51</v>
      </c>
      <c r="G20" s="11" t="str">
        <f t="shared" si="0"/>
        <v>positive</v>
      </c>
    </row>
    <row r="21" spans="1:7" x14ac:dyDescent="0.45">
      <c r="A21" t="s">
        <v>52</v>
      </c>
      <c r="B21" t="s">
        <v>31</v>
      </c>
      <c r="C21" s="7">
        <v>5</v>
      </c>
      <c r="D21" t="s">
        <v>53</v>
      </c>
      <c r="G21" s="11" t="str">
        <f t="shared" si="0"/>
        <v>positive</v>
      </c>
    </row>
    <row r="22" spans="1:7" x14ac:dyDescent="0.45">
      <c r="A22" t="s">
        <v>54</v>
      </c>
      <c r="B22" t="s">
        <v>10</v>
      </c>
      <c r="C22" s="7">
        <v>3</v>
      </c>
      <c r="D22" t="s">
        <v>55</v>
      </c>
      <c r="G22" s="11" t="str">
        <f t="shared" si="0"/>
        <v>neutral</v>
      </c>
    </row>
    <row r="23" spans="1:7" x14ac:dyDescent="0.45">
      <c r="A23" t="s">
        <v>56</v>
      </c>
      <c r="B23" t="s">
        <v>57</v>
      </c>
      <c r="C23" s="7">
        <v>5</v>
      </c>
      <c r="D23" t="s">
        <v>58</v>
      </c>
      <c r="G23" s="11" t="str">
        <f t="shared" si="0"/>
        <v>positive</v>
      </c>
    </row>
    <row r="24" spans="1:7" x14ac:dyDescent="0.45">
      <c r="A24" t="s">
        <v>59</v>
      </c>
      <c r="B24" t="s">
        <v>31</v>
      </c>
      <c r="C24" s="7">
        <v>5</v>
      </c>
      <c r="D24" t="s">
        <v>60</v>
      </c>
      <c r="G24" s="11" t="str">
        <f t="shared" si="0"/>
        <v>positive</v>
      </c>
    </row>
    <row r="25" spans="1:7" x14ac:dyDescent="0.45">
      <c r="A25" t="s">
        <v>61</v>
      </c>
      <c r="B25" t="s">
        <v>62</v>
      </c>
      <c r="C25" s="7">
        <v>5</v>
      </c>
      <c r="D25" t="s">
        <v>63</v>
      </c>
      <c r="G25" s="11" t="str">
        <f t="shared" si="0"/>
        <v>positive</v>
      </c>
    </row>
    <row r="26" spans="1:7" x14ac:dyDescent="0.45">
      <c r="A26" t="s">
        <v>64</v>
      </c>
      <c r="B26" t="s">
        <v>62</v>
      </c>
      <c r="C26" s="7">
        <v>5</v>
      </c>
      <c r="D26" t="s">
        <v>65</v>
      </c>
      <c r="G26" s="11" t="str">
        <f t="shared" si="0"/>
        <v>positive</v>
      </c>
    </row>
    <row r="27" spans="1:7" x14ac:dyDescent="0.45">
      <c r="A27" t="s">
        <v>66</v>
      </c>
      <c r="B27" t="s">
        <v>26</v>
      </c>
      <c r="C27" s="7">
        <v>5</v>
      </c>
      <c r="D27" t="s">
        <v>67</v>
      </c>
      <c r="G27" s="11" t="str">
        <f t="shared" si="0"/>
        <v>positive</v>
      </c>
    </row>
    <row r="28" spans="1:7" x14ac:dyDescent="0.45">
      <c r="A28" t="s">
        <v>68</v>
      </c>
      <c r="B28" t="s">
        <v>23</v>
      </c>
      <c r="C28" s="7">
        <v>5</v>
      </c>
      <c r="D28" t="s">
        <v>69</v>
      </c>
      <c r="G28" s="11" t="str">
        <f t="shared" si="0"/>
        <v>positive</v>
      </c>
    </row>
    <row r="29" spans="1:7" x14ac:dyDescent="0.45">
      <c r="A29" t="s">
        <v>70</v>
      </c>
      <c r="B29" t="s">
        <v>71</v>
      </c>
      <c r="C29" s="7">
        <v>4</v>
      </c>
      <c r="D29" t="s">
        <v>72</v>
      </c>
      <c r="G29" s="11" t="str">
        <f t="shared" si="0"/>
        <v>positive</v>
      </c>
    </row>
    <row r="30" spans="1:7" x14ac:dyDescent="0.45">
      <c r="A30" t="s">
        <v>73</v>
      </c>
      <c r="B30" t="s">
        <v>74</v>
      </c>
      <c r="C30" s="7">
        <v>5</v>
      </c>
      <c r="D30" t="s">
        <v>75</v>
      </c>
      <c r="G30" s="11" t="str">
        <f t="shared" si="0"/>
        <v>positive</v>
      </c>
    </row>
    <row r="31" spans="1:7" x14ac:dyDescent="0.45">
      <c r="A31" t="s">
        <v>76</v>
      </c>
      <c r="B31" t="s">
        <v>74</v>
      </c>
      <c r="C31" s="7">
        <v>5</v>
      </c>
      <c r="D31" t="s">
        <v>77</v>
      </c>
      <c r="G31" s="11" t="str">
        <f t="shared" si="0"/>
        <v>positive</v>
      </c>
    </row>
    <row r="32" spans="1:7" x14ac:dyDescent="0.45">
      <c r="A32" t="s">
        <v>78</v>
      </c>
      <c r="B32" t="s">
        <v>23</v>
      </c>
      <c r="C32" s="7">
        <v>5</v>
      </c>
      <c r="D32" t="s">
        <v>79</v>
      </c>
      <c r="G32" s="11" t="str">
        <f t="shared" si="0"/>
        <v>positive</v>
      </c>
    </row>
    <row r="33" spans="1:7" x14ac:dyDescent="0.45">
      <c r="A33" t="s">
        <v>80</v>
      </c>
      <c r="B33" t="s">
        <v>23</v>
      </c>
      <c r="C33" s="7">
        <v>4</v>
      </c>
      <c r="D33" t="s">
        <v>81</v>
      </c>
      <c r="G33" s="11" t="str">
        <f t="shared" si="0"/>
        <v>positive</v>
      </c>
    </row>
    <row r="34" spans="1:7" x14ac:dyDescent="0.45">
      <c r="A34" t="s">
        <v>82</v>
      </c>
      <c r="B34" t="s">
        <v>23</v>
      </c>
      <c r="C34" s="7">
        <v>4</v>
      </c>
      <c r="D34" t="s">
        <v>83</v>
      </c>
      <c r="G34" s="11" t="str">
        <f t="shared" si="0"/>
        <v>positive</v>
      </c>
    </row>
    <row r="35" spans="1:7" x14ac:dyDescent="0.45">
      <c r="A35" t="s">
        <v>84</v>
      </c>
      <c r="B35" t="s">
        <v>23</v>
      </c>
      <c r="C35" s="7">
        <v>4</v>
      </c>
      <c r="D35" t="s">
        <v>85</v>
      </c>
      <c r="G35" s="11" t="str">
        <f t="shared" si="0"/>
        <v>positive</v>
      </c>
    </row>
    <row r="36" spans="1:7" x14ac:dyDescent="0.45">
      <c r="A36" t="s">
        <v>86</v>
      </c>
      <c r="B36" t="s">
        <v>26</v>
      </c>
      <c r="C36" s="7">
        <v>5</v>
      </c>
      <c r="D36" t="s">
        <v>87</v>
      </c>
      <c r="G36" s="11" t="str">
        <f t="shared" si="0"/>
        <v>positive</v>
      </c>
    </row>
    <row r="37" spans="1:7" x14ac:dyDescent="0.45">
      <c r="A37" t="s">
        <v>88</v>
      </c>
      <c r="B37" t="s">
        <v>13</v>
      </c>
      <c r="C37" s="7">
        <v>5</v>
      </c>
      <c r="D37" t="s">
        <v>89</v>
      </c>
      <c r="G37" s="11" t="str">
        <f t="shared" si="0"/>
        <v>positive</v>
      </c>
    </row>
    <row r="38" spans="1:7" x14ac:dyDescent="0.45">
      <c r="A38" t="s">
        <v>90</v>
      </c>
      <c r="B38" t="s">
        <v>23</v>
      </c>
      <c r="C38" s="7">
        <v>4</v>
      </c>
      <c r="D38" t="s">
        <v>91</v>
      </c>
      <c r="G38" s="11" t="str">
        <f t="shared" si="0"/>
        <v>positive</v>
      </c>
    </row>
    <row r="39" spans="1:7" x14ac:dyDescent="0.45">
      <c r="A39" t="s">
        <v>92</v>
      </c>
      <c r="B39" t="s">
        <v>74</v>
      </c>
      <c r="C39" s="7">
        <v>4</v>
      </c>
      <c r="D39" t="s">
        <v>93</v>
      </c>
      <c r="G39" s="11" t="str">
        <f t="shared" si="0"/>
        <v>positive</v>
      </c>
    </row>
    <row r="40" spans="1:7" x14ac:dyDescent="0.45">
      <c r="A40" t="s">
        <v>94</v>
      </c>
      <c r="B40" t="s">
        <v>31</v>
      </c>
      <c r="C40" s="7">
        <v>5</v>
      </c>
      <c r="D40" t="s">
        <v>95</v>
      </c>
      <c r="G40" s="11" t="str">
        <f t="shared" si="0"/>
        <v>positive</v>
      </c>
    </row>
    <row r="41" spans="1:7" x14ac:dyDescent="0.45">
      <c r="A41" t="s">
        <v>96</v>
      </c>
      <c r="B41" t="s">
        <v>23</v>
      </c>
      <c r="C41" s="7">
        <v>5</v>
      </c>
      <c r="D41" t="s">
        <v>97</v>
      </c>
      <c r="G41" s="11" t="str">
        <f t="shared" si="0"/>
        <v>positive</v>
      </c>
    </row>
    <row r="42" spans="1:7" x14ac:dyDescent="0.45">
      <c r="A42" t="s">
        <v>98</v>
      </c>
      <c r="B42" t="s">
        <v>31</v>
      </c>
      <c r="C42" s="7">
        <v>5</v>
      </c>
      <c r="D42" t="s">
        <v>99</v>
      </c>
      <c r="G42" s="11" t="str">
        <f t="shared" si="0"/>
        <v>positive</v>
      </c>
    </row>
    <row r="43" spans="1:7" x14ac:dyDescent="0.45">
      <c r="A43" t="s">
        <v>100</v>
      </c>
      <c r="B43" t="s">
        <v>31</v>
      </c>
      <c r="C43" s="7">
        <v>5</v>
      </c>
      <c r="D43" t="s">
        <v>101</v>
      </c>
      <c r="G43" s="11" t="str">
        <f t="shared" si="0"/>
        <v>positive</v>
      </c>
    </row>
    <row r="44" spans="1:7" x14ac:dyDescent="0.45">
      <c r="A44" t="s">
        <v>102</v>
      </c>
      <c r="B44" t="s">
        <v>74</v>
      </c>
      <c r="C44" s="7">
        <v>5</v>
      </c>
      <c r="D44" t="s">
        <v>103</v>
      </c>
      <c r="G44" s="11" t="str">
        <f t="shared" si="0"/>
        <v>positive</v>
      </c>
    </row>
    <row r="45" spans="1:7" x14ac:dyDescent="0.45">
      <c r="A45" t="s">
        <v>104</v>
      </c>
      <c r="B45" t="s">
        <v>26</v>
      </c>
      <c r="C45" s="7">
        <v>5</v>
      </c>
      <c r="D45" t="s">
        <v>105</v>
      </c>
      <c r="G45" s="11" t="str">
        <f t="shared" si="0"/>
        <v>positive</v>
      </c>
    </row>
    <row r="46" spans="1:7" x14ac:dyDescent="0.45">
      <c r="A46" t="s">
        <v>106</v>
      </c>
      <c r="B46" t="s">
        <v>74</v>
      </c>
      <c r="C46" s="7">
        <v>5</v>
      </c>
      <c r="D46" t="s">
        <v>107</v>
      </c>
      <c r="G46" s="11" t="str">
        <f t="shared" si="0"/>
        <v>positive</v>
      </c>
    </row>
    <row r="47" spans="1:7" x14ac:dyDescent="0.45">
      <c r="A47" t="s">
        <v>108</v>
      </c>
      <c r="B47" t="s">
        <v>31</v>
      </c>
      <c r="C47" s="7">
        <v>4</v>
      </c>
      <c r="D47" t="s">
        <v>109</v>
      </c>
      <c r="G47" s="11" t="str">
        <f t="shared" si="0"/>
        <v>positive</v>
      </c>
    </row>
    <row r="48" spans="1:7" x14ac:dyDescent="0.45">
      <c r="A48" t="s">
        <v>110</v>
      </c>
      <c r="B48" t="s">
        <v>26</v>
      </c>
      <c r="C48" s="7">
        <v>5</v>
      </c>
      <c r="D48" t="s">
        <v>111</v>
      </c>
      <c r="G48" s="11" t="str">
        <f t="shared" si="0"/>
        <v>positive</v>
      </c>
    </row>
    <row r="49" spans="1:7" x14ac:dyDescent="0.45">
      <c r="A49" t="s">
        <v>112</v>
      </c>
      <c r="B49" t="s">
        <v>31</v>
      </c>
      <c r="C49" s="7">
        <v>5</v>
      </c>
      <c r="D49" t="s">
        <v>113</v>
      </c>
      <c r="G49" s="11" t="str">
        <f t="shared" si="0"/>
        <v>positive</v>
      </c>
    </row>
    <row r="50" spans="1:7" x14ac:dyDescent="0.45">
      <c r="A50" t="s">
        <v>114</v>
      </c>
      <c r="B50" t="s">
        <v>26</v>
      </c>
      <c r="C50" s="7">
        <v>4</v>
      </c>
      <c r="D50" t="s">
        <v>115</v>
      </c>
      <c r="G50" s="11" t="str">
        <f t="shared" si="0"/>
        <v>positive</v>
      </c>
    </row>
    <row r="51" spans="1:7" x14ac:dyDescent="0.45">
      <c r="A51" t="s">
        <v>116</v>
      </c>
      <c r="B51" t="s">
        <v>26</v>
      </c>
      <c r="C51" s="7">
        <v>5</v>
      </c>
      <c r="D51" t="s">
        <v>117</v>
      </c>
      <c r="G51" s="11" t="str">
        <f t="shared" si="0"/>
        <v>positive</v>
      </c>
    </row>
    <row r="52" spans="1:7" x14ac:dyDescent="0.45">
      <c r="A52" t="s">
        <v>118</v>
      </c>
      <c r="B52" t="s">
        <v>38</v>
      </c>
      <c r="C52" s="7">
        <v>5</v>
      </c>
      <c r="D52" t="s">
        <v>119</v>
      </c>
      <c r="G52" s="11" t="str">
        <f t="shared" si="0"/>
        <v>positive</v>
      </c>
    </row>
    <row r="53" spans="1:7" x14ac:dyDescent="0.45">
      <c r="A53" t="s">
        <v>120</v>
      </c>
      <c r="B53" t="s">
        <v>23</v>
      </c>
      <c r="C53" s="7">
        <v>5</v>
      </c>
      <c r="D53" t="s">
        <v>121</v>
      </c>
      <c r="G53" s="11" t="str">
        <f t="shared" si="0"/>
        <v>positive</v>
      </c>
    </row>
    <row r="54" spans="1:7" x14ac:dyDescent="0.45">
      <c r="A54" t="s">
        <v>122</v>
      </c>
      <c r="B54" t="s">
        <v>23</v>
      </c>
      <c r="C54" s="7">
        <v>5</v>
      </c>
      <c r="D54" t="s">
        <v>123</v>
      </c>
      <c r="G54" s="11" t="str">
        <f t="shared" si="0"/>
        <v>positive</v>
      </c>
    </row>
    <row r="55" spans="1:7" x14ac:dyDescent="0.45">
      <c r="A55" t="s">
        <v>124</v>
      </c>
      <c r="B55" t="s">
        <v>31</v>
      </c>
      <c r="C55" s="7">
        <v>5</v>
      </c>
      <c r="D55" t="s">
        <v>125</v>
      </c>
      <c r="G55" s="11" t="str">
        <f t="shared" si="0"/>
        <v>positive</v>
      </c>
    </row>
    <row r="56" spans="1:7" x14ac:dyDescent="0.45">
      <c r="A56" t="s">
        <v>126</v>
      </c>
      <c r="B56" t="s">
        <v>31</v>
      </c>
      <c r="C56" s="7">
        <v>5</v>
      </c>
      <c r="D56" t="s">
        <v>127</v>
      </c>
      <c r="G56" s="11" t="str">
        <f t="shared" si="0"/>
        <v>positive</v>
      </c>
    </row>
    <row r="57" spans="1:7" x14ac:dyDescent="0.45">
      <c r="A57" t="s">
        <v>128</v>
      </c>
      <c r="B57" t="s">
        <v>129</v>
      </c>
      <c r="C57" s="7">
        <v>5</v>
      </c>
      <c r="D57" t="s">
        <v>130</v>
      </c>
      <c r="G57" s="11" t="str">
        <f t="shared" si="0"/>
        <v>positive</v>
      </c>
    </row>
    <row r="58" spans="1:7" x14ac:dyDescent="0.45">
      <c r="A58" t="s">
        <v>131</v>
      </c>
      <c r="B58" t="s">
        <v>23</v>
      </c>
      <c r="C58" s="7">
        <v>5</v>
      </c>
      <c r="D58" t="s">
        <v>132</v>
      </c>
      <c r="G58" s="11" t="str">
        <f t="shared" si="0"/>
        <v>positive</v>
      </c>
    </row>
    <row r="59" spans="1:7" x14ac:dyDescent="0.45">
      <c r="A59" t="s">
        <v>133</v>
      </c>
      <c r="B59" t="s">
        <v>129</v>
      </c>
      <c r="C59" s="7">
        <v>5</v>
      </c>
      <c r="D59" t="s">
        <v>134</v>
      </c>
      <c r="G59" s="11" t="str">
        <f t="shared" si="0"/>
        <v>positive</v>
      </c>
    </row>
    <row r="60" spans="1:7" x14ac:dyDescent="0.45">
      <c r="A60" t="s">
        <v>135</v>
      </c>
      <c r="B60" t="s">
        <v>74</v>
      </c>
      <c r="C60" s="7">
        <v>4</v>
      </c>
      <c r="D60" t="s">
        <v>136</v>
      </c>
      <c r="G60" s="11" t="str">
        <f t="shared" si="0"/>
        <v>positive</v>
      </c>
    </row>
    <row r="61" spans="1:7" x14ac:dyDescent="0.45">
      <c r="A61" t="s">
        <v>137</v>
      </c>
      <c r="B61" t="s">
        <v>138</v>
      </c>
      <c r="C61" s="7">
        <v>5</v>
      </c>
      <c r="D61" t="s">
        <v>139</v>
      </c>
      <c r="G61" s="11" t="str">
        <f t="shared" si="0"/>
        <v>positive</v>
      </c>
    </row>
    <row r="62" spans="1:7" x14ac:dyDescent="0.45">
      <c r="A62" t="s">
        <v>140</v>
      </c>
      <c r="B62" t="s">
        <v>26</v>
      </c>
      <c r="C62" s="7">
        <v>5</v>
      </c>
      <c r="D62" t="s">
        <v>141</v>
      </c>
      <c r="G62" s="11" t="str">
        <f t="shared" si="0"/>
        <v>positive</v>
      </c>
    </row>
    <row r="63" spans="1:7" x14ac:dyDescent="0.45">
      <c r="A63" t="s">
        <v>142</v>
      </c>
      <c r="B63" t="s">
        <v>143</v>
      </c>
      <c r="C63" s="7">
        <v>4</v>
      </c>
      <c r="D63" t="s">
        <v>144</v>
      </c>
      <c r="G63" s="11" t="str">
        <f t="shared" si="0"/>
        <v>positive</v>
      </c>
    </row>
    <row r="64" spans="1:7" x14ac:dyDescent="0.45">
      <c r="A64" t="s">
        <v>145</v>
      </c>
      <c r="B64" t="s">
        <v>74</v>
      </c>
      <c r="C64" s="7">
        <v>5</v>
      </c>
      <c r="D64" t="s">
        <v>146</v>
      </c>
      <c r="G64" s="11" t="str">
        <f t="shared" si="0"/>
        <v>positive</v>
      </c>
    </row>
    <row r="65" spans="1:7" x14ac:dyDescent="0.45">
      <c r="A65" t="s">
        <v>147</v>
      </c>
      <c r="B65" t="s">
        <v>23</v>
      </c>
      <c r="C65" s="7">
        <v>1</v>
      </c>
      <c r="D65" t="s">
        <v>148</v>
      </c>
      <c r="G65" s="11" t="str">
        <f t="shared" si="0"/>
        <v>negative</v>
      </c>
    </row>
    <row r="66" spans="1:7" x14ac:dyDescent="0.45">
      <c r="A66" t="s">
        <v>149</v>
      </c>
      <c r="B66" t="s">
        <v>74</v>
      </c>
      <c r="C66" s="7">
        <v>5</v>
      </c>
      <c r="D66" t="s">
        <v>150</v>
      </c>
      <c r="G66" s="11" t="str">
        <f t="shared" si="0"/>
        <v>positive</v>
      </c>
    </row>
    <row r="67" spans="1:7" x14ac:dyDescent="0.45">
      <c r="A67" t="s">
        <v>151</v>
      </c>
      <c r="B67" t="s">
        <v>7</v>
      </c>
      <c r="C67" s="7">
        <v>5</v>
      </c>
      <c r="D67" t="s">
        <v>152</v>
      </c>
      <c r="G67" s="11" t="str">
        <f t="shared" ref="G67:G130" si="1">IF(C67&gt;=4,"positive", IF(C67&gt;=3,"neutral","negative"))</f>
        <v>positive</v>
      </c>
    </row>
    <row r="68" spans="1:7" x14ac:dyDescent="0.45">
      <c r="A68" t="s">
        <v>153</v>
      </c>
      <c r="B68" t="s">
        <v>20</v>
      </c>
      <c r="C68" s="7">
        <v>4</v>
      </c>
      <c r="D68" t="s">
        <v>154</v>
      </c>
      <c r="G68" s="11" t="str">
        <f t="shared" si="1"/>
        <v>positive</v>
      </c>
    </row>
    <row r="69" spans="1:7" x14ac:dyDescent="0.45">
      <c r="A69" t="s">
        <v>155</v>
      </c>
      <c r="B69" t="s">
        <v>74</v>
      </c>
      <c r="C69" s="7">
        <v>5</v>
      </c>
      <c r="D69" t="s">
        <v>156</v>
      </c>
      <c r="G69" s="11" t="str">
        <f t="shared" si="1"/>
        <v>positive</v>
      </c>
    </row>
    <row r="70" spans="1:7" x14ac:dyDescent="0.45">
      <c r="A70" t="s">
        <v>157</v>
      </c>
      <c r="B70" t="s">
        <v>23</v>
      </c>
      <c r="C70" s="7">
        <v>1</v>
      </c>
      <c r="D70" t="s">
        <v>158</v>
      </c>
      <c r="G70" s="11" t="str">
        <f t="shared" si="1"/>
        <v>negative</v>
      </c>
    </row>
    <row r="71" spans="1:7" x14ac:dyDescent="0.45">
      <c r="A71" t="s">
        <v>159</v>
      </c>
      <c r="B71" t="s">
        <v>74</v>
      </c>
      <c r="C71" s="7">
        <v>4</v>
      </c>
      <c r="D71" t="s">
        <v>160</v>
      </c>
      <c r="G71" s="11" t="str">
        <f t="shared" si="1"/>
        <v>positive</v>
      </c>
    </row>
    <row r="72" spans="1:7" x14ac:dyDescent="0.45">
      <c r="A72" t="s">
        <v>161</v>
      </c>
      <c r="B72" t="s">
        <v>26</v>
      </c>
      <c r="C72" s="7">
        <v>4</v>
      </c>
      <c r="D72" t="s">
        <v>162</v>
      </c>
      <c r="G72" s="11" t="str">
        <f t="shared" si="1"/>
        <v>positive</v>
      </c>
    </row>
    <row r="73" spans="1:7" x14ac:dyDescent="0.45">
      <c r="A73" t="s">
        <v>163</v>
      </c>
      <c r="B73" t="s">
        <v>74</v>
      </c>
      <c r="C73" s="7">
        <v>5</v>
      </c>
      <c r="D73" t="s">
        <v>164</v>
      </c>
      <c r="G73" s="11" t="str">
        <f t="shared" si="1"/>
        <v>positive</v>
      </c>
    </row>
    <row r="74" spans="1:7" x14ac:dyDescent="0.45">
      <c r="A74" t="s">
        <v>165</v>
      </c>
      <c r="B74" t="s">
        <v>23</v>
      </c>
      <c r="C74" s="7">
        <v>5</v>
      </c>
      <c r="D74" t="s">
        <v>166</v>
      </c>
      <c r="G74" s="11" t="str">
        <f t="shared" si="1"/>
        <v>positive</v>
      </c>
    </row>
    <row r="75" spans="1:7" x14ac:dyDescent="0.45">
      <c r="A75" t="s">
        <v>167</v>
      </c>
      <c r="B75" t="s">
        <v>31</v>
      </c>
      <c r="C75" s="7">
        <v>5</v>
      </c>
      <c r="D75" t="s">
        <v>168</v>
      </c>
      <c r="G75" s="11" t="str">
        <f t="shared" si="1"/>
        <v>positive</v>
      </c>
    </row>
    <row r="76" spans="1:7" x14ac:dyDescent="0.45">
      <c r="A76" t="s">
        <v>169</v>
      </c>
      <c r="B76" t="s">
        <v>31</v>
      </c>
      <c r="C76" s="7">
        <v>5</v>
      </c>
      <c r="D76" t="s">
        <v>170</v>
      </c>
      <c r="G76" s="11" t="str">
        <f t="shared" si="1"/>
        <v>positive</v>
      </c>
    </row>
    <row r="77" spans="1:7" x14ac:dyDescent="0.45">
      <c r="A77" t="s">
        <v>171</v>
      </c>
      <c r="B77" t="s">
        <v>74</v>
      </c>
      <c r="C77" s="7">
        <v>5</v>
      </c>
      <c r="D77" t="s">
        <v>172</v>
      </c>
      <c r="G77" s="11" t="str">
        <f t="shared" si="1"/>
        <v>positive</v>
      </c>
    </row>
    <row r="78" spans="1:7" x14ac:dyDescent="0.45">
      <c r="A78" t="s">
        <v>173</v>
      </c>
      <c r="B78" t="s">
        <v>23</v>
      </c>
      <c r="C78" s="7">
        <v>1</v>
      </c>
      <c r="D78" t="s">
        <v>174</v>
      </c>
      <c r="G78" s="11" t="str">
        <f t="shared" si="1"/>
        <v>negative</v>
      </c>
    </row>
    <row r="79" spans="1:7" x14ac:dyDescent="0.45">
      <c r="A79" t="s">
        <v>175</v>
      </c>
      <c r="B79" t="s">
        <v>23</v>
      </c>
      <c r="C79" s="7">
        <v>4</v>
      </c>
      <c r="D79" t="s">
        <v>176</v>
      </c>
      <c r="G79" s="11" t="str">
        <f t="shared" si="1"/>
        <v>positive</v>
      </c>
    </row>
    <row r="80" spans="1:7" x14ac:dyDescent="0.45">
      <c r="A80" t="s">
        <v>177</v>
      </c>
      <c r="B80" t="s">
        <v>74</v>
      </c>
      <c r="C80" s="7">
        <v>3</v>
      </c>
      <c r="D80" t="s">
        <v>178</v>
      </c>
      <c r="G80" s="11" t="str">
        <f t="shared" si="1"/>
        <v>neutral</v>
      </c>
    </row>
    <row r="81" spans="1:7" x14ac:dyDescent="0.45">
      <c r="A81" t="s">
        <v>179</v>
      </c>
      <c r="B81" t="s">
        <v>26</v>
      </c>
      <c r="C81" s="7">
        <v>5</v>
      </c>
      <c r="D81" t="s">
        <v>180</v>
      </c>
      <c r="G81" s="11" t="str">
        <f t="shared" si="1"/>
        <v>positive</v>
      </c>
    </row>
    <row r="82" spans="1:7" x14ac:dyDescent="0.45">
      <c r="A82" t="s">
        <v>181</v>
      </c>
      <c r="B82" t="s">
        <v>62</v>
      </c>
      <c r="C82" s="7">
        <v>5</v>
      </c>
      <c r="D82" t="s">
        <v>182</v>
      </c>
      <c r="G82" s="11" t="str">
        <f t="shared" si="1"/>
        <v>positive</v>
      </c>
    </row>
    <row r="83" spans="1:7" x14ac:dyDescent="0.45">
      <c r="A83" t="s">
        <v>183</v>
      </c>
      <c r="B83" t="s">
        <v>74</v>
      </c>
      <c r="C83" s="7">
        <v>5</v>
      </c>
      <c r="D83" t="s">
        <v>184</v>
      </c>
      <c r="G83" s="11" t="str">
        <f t="shared" si="1"/>
        <v>positive</v>
      </c>
    </row>
    <row r="84" spans="1:7" x14ac:dyDescent="0.45">
      <c r="A84" t="s">
        <v>185</v>
      </c>
      <c r="B84" t="s">
        <v>23</v>
      </c>
      <c r="C84" s="7">
        <v>5</v>
      </c>
      <c r="D84" t="s">
        <v>186</v>
      </c>
      <c r="G84" s="11" t="str">
        <f t="shared" si="1"/>
        <v>positive</v>
      </c>
    </row>
    <row r="85" spans="1:7" x14ac:dyDescent="0.45">
      <c r="A85" t="s">
        <v>187</v>
      </c>
      <c r="B85" t="s">
        <v>26</v>
      </c>
      <c r="C85" s="7">
        <v>5</v>
      </c>
      <c r="D85" t="s">
        <v>188</v>
      </c>
      <c r="G85" s="11" t="str">
        <f t="shared" si="1"/>
        <v>positive</v>
      </c>
    </row>
    <row r="86" spans="1:7" x14ac:dyDescent="0.45">
      <c r="A86" t="s">
        <v>189</v>
      </c>
      <c r="B86" t="s">
        <v>26</v>
      </c>
      <c r="C86" s="7">
        <v>5</v>
      </c>
      <c r="D86" t="s">
        <v>190</v>
      </c>
      <c r="G86" s="11" t="str">
        <f t="shared" si="1"/>
        <v>positive</v>
      </c>
    </row>
    <row r="87" spans="1:7" x14ac:dyDescent="0.45">
      <c r="A87" t="s">
        <v>191</v>
      </c>
      <c r="B87" t="s">
        <v>23</v>
      </c>
      <c r="C87" s="7">
        <v>5</v>
      </c>
      <c r="D87" t="s">
        <v>192</v>
      </c>
      <c r="G87" s="11" t="str">
        <f t="shared" si="1"/>
        <v>positive</v>
      </c>
    </row>
    <row r="88" spans="1:7" x14ac:dyDescent="0.45">
      <c r="A88" t="s">
        <v>193</v>
      </c>
      <c r="B88" t="s">
        <v>26</v>
      </c>
      <c r="C88" s="7">
        <v>5</v>
      </c>
      <c r="D88" t="s">
        <v>194</v>
      </c>
      <c r="G88" s="11" t="str">
        <f t="shared" si="1"/>
        <v>positive</v>
      </c>
    </row>
    <row r="89" spans="1:7" x14ac:dyDescent="0.45">
      <c r="A89" t="s">
        <v>195</v>
      </c>
      <c r="B89" t="s">
        <v>129</v>
      </c>
      <c r="C89" s="7">
        <v>5</v>
      </c>
      <c r="D89" t="s">
        <v>196</v>
      </c>
      <c r="G89" s="11" t="str">
        <f t="shared" si="1"/>
        <v>positive</v>
      </c>
    </row>
    <row r="90" spans="1:7" x14ac:dyDescent="0.45">
      <c r="A90" t="s">
        <v>197</v>
      </c>
      <c r="B90" t="s">
        <v>26</v>
      </c>
      <c r="C90" s="7">
        <v>3</v>
      </c>
      <c r="D90" t="s">
        <v>198</v>
      </c>
      <c r="G90" s="11" t="str">
        <f t="shared" si="1"/>
        <v>neutral</v>
      </c>
    </row>
    <row r="91" spans="1:7" x14ac:dyDescent="0.45">
      <c r="A91" t="s">
        <v>199</v>
      </c>
      <c r="B91" t="s">
        <v>200</v>
      </c>
      <c r="C91" s="7">
        <v>5</v>
      </c>
      <c r="D91" t="s">
        <v>201</v>
      </c>
      <c r="G91" s="11" t="str">
        <f t="shared" si="1"/>
        <v>positive</v>
      </c>
    </row>
    <row r="92" spans="1:7" x14ac:dyDescent="0.45">
      <c r="A92" t="s">
        <v>202</v>
      </c>
      <c r="B92" t="s">
        <v>23</v>
      </c>
      <c r="C92" s="7">
        <v>5</v>
      </c>
      <c r="D92" t="s">
        <v>203</v>
      </c>
      <c r="G92" s="11" t="str">
        <f t="shared" si="1"/>
        <v>positive</v>
      </c>
    </row>
    <row r="93" spans="1:7" x14ac:dyDescent="0.45">
      <c r="A93" t="s">
        <v>204</v>
      </c>
      <c r="B93" t="s">
        <v>74</v>
      </c>
      <c r="C93" s="7">
        <v>5</v>
      </c>
      <c r="D93" t="s">
        <v>205</v>
      </c>
      <c r="G93" s="11" t="str">
        <f t="shared" si="1"/>
        <v>positive</v>
      </c>
    </row>
    <row r="94" spans="1:7" x14ac:dyDescent="0.45">
      <c r="A94" t="s">
        <v>206</v>
      </c>
      <c r="B94" t="s">
        <v>62</v>
      </c>
      <c r="C94" s="7">
        <v>5</v>
      </c>
      <c r="D94" t="s">
        <v>207</v>
      </c>
      <c r="G94" s="11" t="str">
        <f t="shared" si="1"/>
        <v>positive</v>
      </c>
    </row>
    <row r="95" spans="1:7" x14ac:dyDescent="0.45">
      <c r="A95" t="s">
        <v>208</v>
      </c>
      <c r="B95" t="s">
        <v>129</v>
      </c>
      <c r="C95" s="7">
        <v>5</v>
      </c>
      <c r="D95" t="s">
        <v>209</v>
      </c>
      <c r="G95" s="11" t="str">
        <f t="shared" si="1"/>
        <v>positive</v>
      </c>
    </row>
    <row r="96" spans="1:7" x14ac:dyDescent="0.45">
      <c r="A96" t="s">
        <v>210</v>
      </c>
      <c r="B96" t="s">
        <v>74</v>
      </c>
      <c r="C96" s="7">
        <v>4</v>
      </c>
      <c r="D96" t="s">
        <v>211</v>
      </c>
      <c r="G96" s="11" t="str">
        <f t="shared" si="1"/>
        <v>positive</v>
      </c>
    </row>
    <row r="97" spans="1:7" x14ac:dyDescent="0.45">
      <c r="A97" t="s">
        <v>212</v>
      </c>
      <c r="B97" t="s">
        <v>74</v>
      </c>
      <c r="C97" s="7">
        <v>5</v>
      </c>
      <c r="D97" t="s">
        <v>213</v>
      </c>
      <c r="G97" s="11" t="str">
        <f t="shared" si="1"/>
        <v>positive</v>
      </c>
    </row>
    <row r="98" spans="1:7" x14ac:dyDescent="0.45">
      <c r="A98" t="s">
        <v>214</v>
      </c>
      <c r="B98" t="s">
        <v>62</v>
      </c>
      <c r="C98" s="7">
        <v>3</v>
      </c>
      <c r="D98" t="s">
        <v>215</v>
      </c>
      <c r="G98" s="11" t="str">
        <f t="shared" si="1"/>
        <v>neutral</v>
      </c>
    </row>
    <row r="99" spans="1:7" x14ac:dyDescent="0.45">
      <c r="A99" t="s">
        <v>216</v>
      </c>
      <c r="B99" t="s">
        <v>23</v>
      </c>
      <c r="C99" s="7">
        <v>5</v>
      </c>
      <c r="D99" t="s">
        <v>217</v>
      </c>
      <c r="G99" s="11" t="str">
        <f t="shared" si="1"/>
        <v>positive</v>
      </c>
    </row>
    <row r="100" spans="1:7" x14ac:dyDescent="0.45">
      <c r="A100" t="s">
        <v>218</v>
      </c>
      <c r="B100" t="s">
        <v>23</v>
      </c>
      <c r="C100" s="7">
        <v>5</v>
      </c>
      <c r="D100" t="s">
        <v>219</v>
      </c>
      <c r="G100" s="11" t="str">
        <f t="shared" si="1"/>
        <v>positive</v>
      </c>
    </row>
    <row r="101" spans="1:7" x14ac:dyDescent="0.45">
      <c r="A101" t="s">
        <v>220</v>
      </c>
      <c r="B101" t="s">
        <v>221</v>
      </c>
      <c r="C101" s="7">
        <v>5</v>
      </c>
      <c r="D101" t="s">
        <v>222</v>
      </c>
      <c r="G101" s="11" t="str">
        <f t="shared" si="1"/>
        <v>positive</v>
      </c>
    </row>
    <row r="102" spans="1:7" x14ac:dyDescent="0.45">
      <c r="A102" t="s">
        <v>223</v>
      </c>
      <c r="B102" t="s">
        <v>23</v>
      </c>
      <c r="C102" s="7">
        <v>1</v>
      </c>
      <c r="D102" t="s">
        <v>224</v>
      </c>
      <c r="G102" s="11" t="str">
        <f t="shared" si="1"/>
        <v>negative</v>
      </c>
    </row>
    <row r="103" spans="1:7" x14ac:dyDescent="0.45">
      <c r="A103" t="s">
        <v>225</v>
      </c>
      <c r="B103" t="s">
        <v>74</v>
      </c>
      <c r="C103" s="7">
        <v>5</v>
      </c>
      <c r="D103" t="s">
        <v>226</v>
      </c>
      <c r="G103" s="11" t="str">
        <f t="shared" si="1"/>
        <v>positive</v>
      </c>
    </row>
    <row r="104" spans="1:7" x14ac:dyDescent="0.45">
      <c r="A104" t="s">
        <v>227</v>
      </c>
      <c r="B104" t="s">
        <v>23</v>
      </c>
      <c r="C104" s="7">
        <v>5</v>
      </c>
      <c r="D104" t="s">
        <v>228</v>
      </c>
      <c r="G104" s="11" t="str">
        <f t="shared" si="1"/>
        <v>positive</v>
      </c>
    </row>
    <row r="105" spans="1:7" x14ac:dyDescent="0.45">
      <c r="A105" t="s">
        <v>229</v>
      </c>
      <c r="B105" t="s">
        <v>23</v>
      </c>
      <c r="C105" s="7">
        <v>5</v>
      </c>
      <c r="D105" t="s">
        <v>230</v>
      </c>
      <c r="G105" s="11" t="str">
        <f t="shared" si="1"/>
        <v>positive</v>
      </c>
    </row>
    <row r="106" spans="1:7" x14ac:dyDescent="0.45">
      <c r="A106" t="s">
        <v>231</v>
      </c>
      <c r="B106" t="s">
        <v>62</v>
      </c>
      <c r="C106" s="7">
        <v>5</v>
      </c>
      <c r="D106" t="s">
        <v>232</v>
      </c>
      <c r="G106" s="11" t="str">
        <f t="shared" si="1"/>
        <v>positive</v>
      </c>
    </row>
    <row r="107" spans="1:7" x14ac:dyDescent="0.45">
      <c r="A107" t="s">
        <v>233</v>
      </c>
      <c r="B107" t="s">
        <v>23</v>
      </c>
      <c r="C107" s="7">
        <v>5</v>
      </c>
      <c r="D107" t="s">
        <v>234</v>
      </c>
      <c r="G107" s="11" t="str">
        <f t="shared" si="1"/>
        <v>positive</v>
      </c>
    </row>
    <row r="108" spans="1:7" x14ac:dyDescent="0.45">
      <c r="A108" t="s">
        <v>235</v>
      </c>
      <c r="B108" t="s">
        <v>23</v>
      </c>
      <c r="C108" s="7">
        <v>5</v>
      </c>
      <c r="D108" t="s">
        <v>236</v>
      </c>
      <c r="G108" s="11" t="str">
        <f t="shared" si="1"/>
        <v>positive</v>
      </c>
    </row>
    <row r="109" spans="1:7" x14ac:dyDescent="0.45">
      <c r="A109" t="s">
        <v>237</v>
      </c>
      <c r="B109" t="s">
        <v>26</v>
      </c>
      <c r="C109" s="7">
        <v>4</v>
      </c>
      <c r="D109" t="s">
        <v>238</v>
      </c>
      <c r="G109" s="11" t="str">
        <f t="shared" si="1"/>
        <v>positive</v>
      </c>
    </row>
    <row r="110" spans="1:7" x14ac:dyDescent="0.45">
      <c r="A110" t="s">
        <v>239</v>
      </c>
      <c r="B110" t="s">
        <v>23</v>
      </c>
      <c r="C110" s="7">
        <v>5</v>
      </c>
      <c r="D110" t="s">
        <v>240</v>
      </c>
      <c r="G110" s="11" t="str">
        <f t="shared" si="1"/>
        <v>positive</v>
      </c>
    </row>
    <row r="111" spans="1:7" x14ac:dyDescent="0.45">
      <c r="A111" t="s">
        <v>241</v>
      </c>
      <c r="B111" t="s">
        <v>23</v>
      </c>
      <c r="C111" s="7">
        <v>5</v>
      </c>
      <c r="D111" t="s">
        <v>242</v>
      </c>
      <c r="G111" s="11" t="str">
        <f t="shared" si="1"/>
        <v>positive</v>
      </c>
    </row>
    <row r="112" spans="1:7" x14ac:dyDescent="0.45">
      <c r="A112" t="s">
        <v>243</v>
      </c>
      <c r="B112" t="s">
        <v>74</v>
      </c>
      <c r="C112" s="7">
        <v>4</v>
      </c>
      <c r="D112" t="s">
        <v>244</v>
      </c>
      <c r="G112" s="11" t="str">
        <f t="shared" si="1"/>
        <v>positive</v>
      </c>
    </row>
    <row r="113" spans="1:7" x14ac:dyDescent="0.45">
      <c r="A113" t="s">
        <v>245</v>
      </c>
      <c r="B113" t="s">
        <v>23</v>
      </c>
      <c r="C113" s="7">
        <v>5</v>
      </c>
      <c r="D113" t="s">
        <v>246</v>
      </c>
      <c r="G113" s="11" t="str">
        <f t="shared" si="1"/>
        <v>positive</v>
      </c>
    </row>
    <row r="114" spans="1:7" x14ac:dyDescent="0.45">
      <c r="A114" t="s">
        <v>247</v>
      </c>
      <c r="B114" t="s">
        <v>138</v>
      </c>
      <c r="C114" s="7">
        <v>5</v>
      </c>
      <c r="D114" t="s">
        <v>248</v>
      </c>
      <c r="G114" s="11" t="str">
        <f t="shared" si="1"/>
        <v>positive</v>
      </c>
    </row>
    <row r="115" spans="1:7" x14ac:dyDescent="0.45">
      <c r="A115" t="s">
        <v>249</v>
      </c>
      <c r="B115" t="s">
        <v>74</v>
      </c>
      <c r="C115" s="7">
        <v>5</v>
      </c>
      <c r="D115" t="s">
        <v>250</v>
      </c>
      <c r="G115" s="11" t="str">
        <f t="shared" si="1"/>
        <v>positive</v>
      </c>
    </row>
    <row r="116" spans="1:7" x14ac:dyDescent="0.45">
      <c r="A116" t="s">
        <v>251</v>
      </c>
      <c r="B116" t="s">
        <v>252</v>
      </c>
      <c r="C116" s="7">
        <v>5</v>
      </c>
      <c r="D116" t="s">
        <v>253</v>
      </c>
      <c r="G116" s="11" t="str">
        <f t="shared" si="1"/>
        <v>positive</v>
      </c>
    </row>
    <row r="117" spans="1:7" x14ac:dyDescent="0.45">
      <c r="A117" t="s">
        <v>254</v>
      </c>
      <c r="B117" t="s">
        <v>200</v>
      </c>
      <c r="C117" s="7">
        <v>5</v>
      </c>
      <c r="D117" t="s">
        <v>255</v>
      </c>
      <c r="G117" s="11" t="str">
        <f t="shared" si="1"/>
        <v>positive</v>
      </c>
    </row>
    <row r="118" spans="1:7" x14ac:dyDescent="0.45">
      <c r="A118" t="s">
        <v>256</v>
      </c>
      <c r="B118" t="s">
        <v>7</v>
      </c>
      <c r="C118" s="7">
        <v>5</v>
      </c>
      <c r="D118" t="s">
        <v>257</v>
      </c>
      <c r="G118" s="11" t="str">
        <f t="shared" si="1"/>
        <v>positive</v>
      </c>
    </row>
    <row r="119" spans="1:7" x14ac:dyDescent="0.45">
      <c r="A119" t="s">
        <v>258</v>
      </c>
      <c r="B119" t="s">
        <v>259</v>
      </c>
      <c r="C119" s="7">
        <v>4</v>
      </c>
      <c r="D119" t="s">
        <v>260</v>
      </c>
      <c r="G119" s="11" t="str">
        <f t="shared" si="1"/>
        <v>positive</v>
      </c>
    </row>
    <row r="120" spans="1:7" x14ac:dyDescent="0.45">
      <c r="A120" t="s">
        <v>261</v>
      </c>
      <c r="B120" t="s">
        <v>143</v>
      </c>
      <c r="C120" s="7">
        <v>4</v>
      </c>
      <c r="D120" t="s">
        <v>262</v>
      </c>
      <c r="G120" s="11" t="str">
        <f t="shared" si="1"/>
        <v>positive</v>
      </c>
    </row>
    <row r="121" spans="1:7" x14ac:dyDescent="0.45">
      <c r="A121" t="s">
        <v>263</v>
      </c>
      <c r="B121" t="s">
        <v>264</v>
      </c>
      <c r="C121" s="7">
        <v>4</v>
      </c>
      <c r="D121" t="s">
        <v>265</v>
      </c>
      <c r="G121" s="11" t="str">
        <f t="shared" si="1"/>
        <v>positive</v>
      </c>
    </row>
    <row r="122" spans="1:7" x14ac:dyDescent="0.45">
      <c r="A122" t="s">
        <v>266</v>
      </c>
      <c r="B122" t="s">
        <v>10</v>
      </c>
      <c r="C122" s="7">
        <v>5</v>
      </c>
      <c r="D122" t="s">
        <v>267</v>
      </c>
      <c r="G122" s="11" t="str">
        <f t="shared" si="1"/>
        <v>positive</v>
      </c>
    </row>
    <row r="123" spans="1:7" x14ac:dyDescent="0.45">
      <c r="A123" t="s">
        <v>268</v>
      </c>
      <c r="B123" t="s">
        <v>269</v>
      </c>
      <c r="C123" s="7">
        <v>5</v>
      </c>
      <c r="D123" t="s">
        <v>270</v>
      </c>
      <c r="G123" s="11" t="str">
        <f t="shared" si="1"/>
        <v>positive</v>
      </c>
    </row>
    <row r="124" spans="1:7" x14ac:dyDescent="0.45">
      <c r="A124" t="s">
        <v>271</v>
      </c>
      <c r="B124" t="s">
        <v>200</v>
      </c>
      <c r="C124" s="7">
        <v>5</v>
      </c>
      <c r="D124" t="s">
        <v>272</v>
      </c>
      <c r="G124" s="11" t="str">
        <f t="shared" si="1"/>
        <v>positive</v>
      </c>
    </row>
    <row r="125" spans="1:7" x14ac:dyDescent="0.45">
      <c r="A125" t="s">
        <v>273</v>
      </c>
      <c r="B125" t="s">
        <v>57</v>
      </c>
      <c r="C125" s="7">
        <v>5</v>
      </c>
      <c r="D125" t="s">
        <v>274</v>
      </c>
      <c r="G125" s="11" t="str">
        <f t="shared" si="1"/>
        <v>positive</v>
      </c>
    </row>
    <row r="126" spans="1:7" x14ac:dyDescent="0.45">
      <c r="A126" t="s">
        <v>275</v>
      </c>
      <c r="B126" t="s">
        <v>10</v>
      </c>
      <c r="C126" s="7">
        <v>5</v>
      </c>
      <c r="D126" t="s">
        <v>276</v>
      </c>
      <c r="G126" s="11" t="str">
        <f t="shared" si="1"/>
        <v>positive</v>
      </c>
    </row>
    <row r="127" spans="1:7" x14ac:dyDescent="0.45">
      <c r="A127" t="s">
        <v>277</v>
      </c>
      <c r="B127" t="s">
        <v>10</v>
      </c>
      <c r="C127" s="7">
        <v>5</v>
      </c>
      <c r="D127" t="s">
        <v>278</v>
      </c>
      <c r="G127" s="11" t="str">
        <f t="shared" si="1"/>
        <v>positive</v>
      </c>
    </row>
    <row r="128" spans="1:7" x14ac:dyDescent="0.45">
      <c r="A128" t="s">
        <v>279</v>
      </c>
      <c r="B128" t="s">
        <v>13</v>
      </c>
      <c r="C128" s="7">
        <v>5</v>
      </c>
      <c r="D128" t="s">
        <v>280</v>
      </c>
      <c r="G128" s="11" t="str">
        <f t="shared" si="1"/>
        <v>positive</v>
      </c>
    </row>
    <row r="129" spans="1:7" x14ac:dyDescent="0.45">
      <c r="A129" t="s">
        <v>281</v>
      </c>
      <c r="B129" t="s">
        <v>31</v>
      </c>
      <c r="C129" s="7">
        <v>5</v>
      </c>
      <c r="D129" t="s">
        <v>282</v>
      </c>
      <c r="G129" s="11" t="str">
        <f t="shared" si="1"/>
        <v>positive</v>
      </c>
    </row>
    <row r="130" spans="1:7" x14ac:dyDescent="0.45">
      <c r="A130" t="s">
        <v>283</v>
      </c>
      <c r="B130" t="s">
        <v>31</v>
      </c>
      <c r="C130" s="7">
        <v>5</v>
      </c>
      <c r="D130" t="s">
        <v>284</v>
      </c>
      <c r="G130" s="11" t="str">
        <f t="shared" si="1"/>
        <v>positive</v>
      </c>
    </row>
    <row r="131" spans="1:7" x14ac:dyDescent="0.45">
      <c r="A131" t="s">
        <v>285</v>
      </c>
      <c r="B131" t="s">
        <v>7</v>
      </c>
      <c r="C131" s="7">
        <v>5</v>
      </c>
      <c r="D131" t="s">
        <v>286</v>
      </c>
      <c r="G131" s="11" t="str">
        <f t="shared" ref="G131:G194" si="2">IF(C131&gt;=4,"positive", IF(C131&gt;=3,"neutral","negative"))</f>
        <v>positive</v>
      </c>
    </row>
    <row r="132" spans="1:7" x14ac:dyDescent="0.45">
      <c r="A132" t="s">
        <v>287</v>
      </c>
      <c r="B132" t="s">
        <v>7</v>
      </c>
      <c r="C132" s="7">
        <v>5</v>
      </c>
      <c r="D132" t="s">
        <v>288</v>
      </c>
      <c r="G132" s="11" t="str">
        <f t="shared" si="2"/>
        <v>positive</v>
      </c>
    </row>
    <row r="133" spans="1:7" x14ac:dyDescent="0.45">
      <c r="A133" t="s">
        <v>289</v>
      </c>
      <c r="B133" t="s">
        <v>290</v>
      </c>
      <c r="C133" s="7">
        <v>4</v>
      </c>
      <c r="D133" t="s">
        <v>291</v>
      </c>
      <c r="G133" s="11" t="str">
        <f t="shared" si="2"/>
        <v>positive</v>
      </c>
    </row>
    <row r="134" spans="1:7" x14ac:dyDescent="0.45">
      <c r="A134" t="s">
        <v>292</v>
      </c>
      <c r="B134" t="s">
        <v>293</v>
      </c>
      <c r="C134" s="7">
        <v>5</v>
      </c>
      <c r="D134" t="s">
        <v>294</v>
      </c>
      <c r="G134" s="11" t="str">
        <f t="shared" si="2"/>
        <v>positive</v>
      </c>
    </row>
    <row r="135" spans="1:7" x14ac:dyDescent="0.45">
      <c r="A135" t="s">
        <v>295</v>
      </c>
      <c r="B135" t="s">
        <v>26</v>
      </c>
      <c r="C135" s="7">
        <v>3</v>
      </c>
      <c r="D135" t="s">
        <v>296</v>
      </c>
      <c r="G135" s="11" t="str">
        <f t="shared" si="2"/>
        <v>neutral</v>
      </c>
    </row>
    <row r="136" spans="1:7" x14ac:dyDescent="0.45">
      <c r="A136" t="s">
        <v>297</v>
      </c>
      <c r="B136" t="s">
        <v>129</v>
      </c>
      <c r="C136" s="7">
        <v>5</v>
      </c>
      <c r="D136" t="s">
        <v>298</v>
      </c>
      <c r="G136" s="11" t="str">
        <f t="shared" si="2"/>
        <v>positive</v>
      </c>
    </row>
    <row r="137" spans="1:7" x14ac:dyDescent="0.45">
      <c r="A137" t="s">
        <v>299</v>
      </c>
      <c r="B137" t="s">
        <v>7</v>
      </c>
      <c r="C137" s="7">
        <v>5</v>
      </c>
      <c r="D137" t="s">
        <v>300</v>
      </c>
      <c r="G137" s="11" t="str">
        <f t="shared" si="2"/>
        <v>positive</v>
      </c>
    </row>
    <row r="138" spans="1:7" x14ac:dyDescent="0.45">
      <c r="A138" t="s">
        <v>301</v>
      </c>
      <c r="B138" t="s">
        <v>7</v>
      </c>
      <c r="C138" s="7">
        <v>5</v>
      </c>
      <c r="D138" t="s">
        <v>302</v>
      </c>
      <c r="G138" s="11" t="str">
        <f t="shared" si="2"/>
        <v>positive</v>
      </c>
    </row>
    <row r="139" spans="1:7" x14ac:dyDescent="0.45">
      <c r="A139" t="s">
        <v>303</v>
      </c>
      <c r="B139" t="s">
        <v>304</v>
      </c>
      <c r="C139" s="7">
        <v>4</v>
      </c>
      <c r="D139" t="s">
        <v>305</v>
      </c>
      <c r="G139" s="11" t="str">
        <f t="shared" si="2"/>
        <v>positive</v>
      </c>
    </row>
    <row r="140" spans="1:7" x14ac:dyDescent="0.45">
      <c r="A140" t="s">
        <v>306</v>
      </c>
      <c r="B140" t="s">
        <v>31</v>
      </c>
      <c r="C140" s="7">
        <v>5</v>
      </c>
      <c r="D140" t="s">
        <v>307</v>
      </c>
      <c r="G140" s="11" t="str">
        <f t="shared" si="2"/>
        <v>positive</v>
      </c>
    </row>
    <row r="141" spans="1:7" x14ac:dyDescent="0.45">
      <c r="A141" t="s">
        <v>308</v>
      </c>
      <c r="B141" t="s">
        <v>31</v>
      </c>
      <c r="C141" s="7">
        <v>5</v>
      </c>
      <c r="D141" t="s">
        <v>309</v>
      </c>
      <c r="G141" s="11" t="str">
        <f t="shared" si="2"/>
        <v>positive</v>
      </c>
    </row>
    <row r="142" spans="1:7" x14ac:dyDescent="0.45">
      <c r="A142" t="s">
        <v>310</v>
      </c>
      <c r="B142" t="s">
        <v>38</v>
      </c>
      <c r="C142" s="7">
        <v>5</v>
      </c>
      <c r="D142" t="s">
        <v>311</v>
      </c>
      <c r="G142" s="11" t="str">
        <f t="shared" si="2"/>
        <v>positive</v>
      </c>
    </row>
    <row r="143" spans="1:7" x14ac:dyDescent="0.45">
      <c r="A143" t="s">
        <v>312</v>
      </c>
      <c r="B143" t="s">
        <v>26</v>
      </c>
      <c r="C143" s="7">
        <v>5</v>
      </c>
      <c r="D143" t="s">
        <v>313</v>
      </c>
      <c r="G143" s="11" t="str">
        <f t="shared" si="2"/>
        <v>positive</v>
      </c>
    </row>
    <row r="144" spans="1:7" x14ac:dyDescent="0.45">
      <c r="A144" t="s">
        <v>314</v>
      </c>
      <c r="B144" t="s">
        <v>31</v>
      </c>
      <c r="C144" s="7">
        <v>5</v>
      </c>
      <c r="D144" t="s">
        <v>315</v>
      </c>
      <c r="G144" s="11" t="str">
        <f t="shared" si="2"/>
        <v>positive</v>
      </c>
    </row>
    <row r="145" spans="1:7" x14ac:dyDescent="0.45">
      <c r="A145" t="s">
        <v>316</v>
      </c>
      <c r="B145" t="s">
        <v>26</v>
      </c>
      <c r="C145" s="7">
        <v>5</v>
      </c>
      <c r="D145" t="s">
        <v>317</v>
      </c>
      <c r="G145" s="11" t="str">
        <f t="shared" si="2"/>
        <v>positive</v>
      </c>
    </row>
    <row r="146" spans="1:7" x14ac:dyDescent="0.45">
      <c r="A146" t="s">
        <v>318</v>
      </c>
      <c r="B146" t="s">
        <v>290</v>
      </c>
      <c r="C146" s="7">
        <v>5</v>
      </c>
      <c r="D146" t="s">
        <v>319</v>
      </c>
      <c r="G146" s="11" t="str">
        <f t="shared" si="2"/>
        <v>positive</v>
      </c>
    </row>
    <row r="147" spans="1:7" x14ac:dyDescent="0.45">
      <c r="A147" t="s">
        <v>320</v>
      </c>
      <c r="B147" t="s">
        <v>23</v>
      </c>
      <c r="C147" s="7">
        <v>5</v>
      </c>
      <c r="D147" t="s">
        <v>321</v>
      </c>
      <c r="G147" s="11" t="str">
        <f t="shared" si="2"/>
        <v>positive</v>
      </c>
    </row>
    <row r="148" spans="1:7" x14ac:dyDescent="0.45">
      <c r="A148" t="s">
        <v>322</v>
      </c>
      <c r="B148" t="s">
        <v>7</v>
      </c>
      <c r="C148" s="7">
        <v>2</v>
      </c>
      <c r="D148" t="s">
        <v>323</v>
      </c>
      <c r="G148" s="11" t="str">
        <f t="shared" si="2"/>
        <v>negative</v>
      </c>
    </row>
    <row r="149" spans="1:7" x14ac:dyDescent="0.45">
      <c r="A149" t="s">
        <v>324</v>
      </c>
      <c r="B149" t="s">
        <v>31</v>
      </c>
      <c r="C149" s="7">
        <v>5</v>
      </c>
      <c r="D149" t="s">
        <v>325</v>
      </c>
      <c r="G149" s="11" t="str">
        <f t="shared" si="2"/>
        <v>positive</v>
      </c>
    </row>
    <row r="150" spans="1:7" x14ac:dyDescent="0.45">
      <c r="A150" t="s">
        <v>326</v>
      </c>
      <c r="B150" t="s">
        <v>31</v>
      </c>
      <c r="C150" s="7">
        <v>5</v>
      </c>
      <c r="D150" t="s">
        <v>327</v>
      </c>
      <c r="G150" s="11" t="str">
        <f t="shared" si="2"/>
        <v>positive</v>
      </c>
    </row>
    <row r="151" spans="1:7" x14ac:dyDescent="0.45">
      <c r="A151" t="s">
        <v>328</v>
      </c>
      <c r="B151" t="s">
        <v>26</v>
      </c>
      <c r="C151" s="7">
        <v>5</v>
      </c>
      <c r="D151" t="s">
        <v>329</v>
      </c>
      <c r="G151" s="11" t="str">
        <f t="shared" si="2"/>
        <v>positive</v>
      </c>
    </row>
    <row r="152" spans="1:7" x14ac:dyDescent="0.45">
      <c r="A152" t="s">
        <v>330</v>
      </c>
      <c r="B152" t="s">
        <v>13</v>
      </c>
      <c r="C152" s="7">
        <v>4</v>
      </c>
      <c r="D152" t="s">
        <v>331</v>
      </c>
      <c r="G152" s="11" t="str">
        <f t="shared" si="2"/>
        <v>positive</v>
      </c>
    </row>
    <row r="153" spans="1:7" x14ac:dyDescent="0.45">
      <c r="A153" t="s">
        <v>332</v>
      </c>
      <c r="B153" t="s">
        <v>31</v>
      </c>
      <c r="C153" s="7">
        <v>5</v>
      </c>
      <c r="D153" t="s">
        <v>333</v>
      </c>
      <c r="G153" s="11" t="str">
        <f t="shared" si="2"/>
        <v>positive</v>
      </c>
    </row>
    <row r="154" spans="1:7" x14ac:dyDescent="0.45">
      <c r="A154" t="s">
        <v>334</v>
      </c>
      <c r="B154" t="s">
        <v>26</v>
      </c>
      <c r="C154" s="7">
        <v>5</v>
      </c>
      <c r="D154" t="s">
        <v>335</v>
      </c>
      <c r="G154" s="11" t="str">
        <f t="shared" si="2"/>
        <v>positive</v>
      </c>
    </row>
    <row r="155" spans="1:7" x14ac:dyDescent="0.45">
      <c r="A155" t="s">
        <v>336</v>
      </c>
      <c r="B155" t="s">
        <v>23</v>
      </c>
      <c r="C155" s="7">
        <v>5</v>
      </c>
      <c r="D155" t="s">
        <v>337</v>
      </c>
      <c r="G155" s="11" t="str">
        <f t="shared" si="2"/>
        <v>positive</v>
      </c>
    </row>
    <row r="156" spans="1:7" x14ac:dyDescent="0.45">
      <c r="A156" t="s">
        <v>338</v>
      </c>
      <c r="B156" t="s">
        <v>31</v>
      </c>
      <c r="C156" s="7">
        <v>4</v>
      </c>
      <c r="D156" t="s">
        <v>339</v>
      </c>
      <c r="G156" s="11" t="str">
        <f t="shared" si="2"/>
        <v>positive</v>
      </c>
    </row>
    <row r="157" spans="1:7" x14ac:dyDescent="0.45">
      <c r="A157" t="s">
        <v>340</v>
      </c>
      <c r="B157" t="s">
        <v>143</v>
      </c>
      <c r="C157" s="7">
        <v>5</v>
      </c>
      <c r="D157" t="s">
        <v>341</v>
      </c>
      <c r="G157" s="11" t="str">
        <f t="shared" si="2"/>
        <v>positive</v>
      </c>
    </row>
    <row r="158" spans="1:7" x14ac:dyDescent="0.45">
      <c r="A158" t="s">
        <v>342</v>
      </c>
      <c r="B158" t="s">
        <v>31</v>
      </c>
      <c r="C158" s="7">
        <v>5</v>
      </c>
      <c r="D158" t="s">
        <v>343</v>
      </c>
      <c r="G158" s="11" t="str">
        <f t="shared" si="2"/>
        <v>positive</v>
      </c>
    </row>
    <row r="159" spans="1:7" x14ac:dyDescent="0.45">
      <c r="A159" t="s">
        <v>344</v>
      </c>
      <c r="B159" t="s">
        <v>26</v>
      </c>
      <c r="C159" s="7">
        <v>5</v>
      </c>
      <c r="D159" t="s">
        <v>345</v>
      </c>
      <c r="G159" s="11" t="str">
        <f t="shared" si="2"/>
        <v>positive</v>
      </c>
    </row>
    <row r="160" spans="1:7" x14ac:dyDescent="0.45">
      <c r="A160" t="s">
        <v>346</v>
      </c>
      <c r="B160" t="s">
        <v>31</v>
      </c>
      <c r="C160" s="7">
        <v>5</v>
      </c>
      <c r="D160" t="s">
        <v>347</v>
      </c>
      <c r="G160" s="11" t="str">
        <f t="shared" si="2"/>
        <v>positive</v>
      </c>
    </row>
    <row r="161" spans="1:7" x14ac:dyDescent="0.45">
      <c r="A161" t="s">
        <v>348</v>
      </c>
      <c r="B161" t="s">
        <v>23</v>
      </c>
      <c r="C161" s="7">
        <v>5</v>
      </c>
      <c r="D161" t="s">
        <v>349</v>
      </c>
      <c r="G161" s="11" t="str">
        <f t="shared" si="2"/>
        <v>positive</v>
      </c>
    </row>
    <row r="162" spans="1:7" x14ac:dyDescent="0.45">
      <c r="A162" t="s">
        <v>350</v>
      </c>
      <c r="B162" t="s">
        <v>290</v>
      </c>
      <c r="C162" s="7">
        <v>5</v>
      </c>
      <c r="D162" t="s">
        <v>351</v>
      </c>
      <c r="G162" s="11" t="str">
        <f t="shared" si="2"/>
        <v>positive</v>
      </c>
    </row>
    <row r="163" spans="1:7" x14ac:dyDescent="0.45">
      <c r="A163" t="s">
        <v>352</v>
      </c>
      <c r="B163" t="s">
        <v>26</v>
      </c>
      <c r="C163" s="7">
        <v>5</v>
      </c>
      <c r="D163" t="s">
        <v>353</v>
      </c>
      <c r="G163" s="11" t="str">
        <f t="shared" si="2"/>
        <v>positive</v>
      </c>
    </row>
    <row r="164" spans="1:7" x14ac:dyDescent="0.45">
      <c r="A164" t="s">
        <v>354</v>
      </c>
      <c r="B164" t="s">
        <v>23</v>
      </c>
      <c r="C164" s="7">
        <v>4</v>
      </c>
      <c r="D164" t="s">
        <v>355</v>
      </c>
      <c r="G164" s="11" t="str">
        <f t="shared" si="2"/>
        <v>positive</v>
      </c>
    </row>
    <row r="165" spans="1:7" x14ac:dyDescent="0.45">
      <c r="A165" t="s">
        <v>356</v>
      </c>
      <c r="B165" t="s">
        <v>23</v>
      </c>
      <c r="C165" s="7">
        <v>5</v>
      </c>
      <c r="D165" t="s">
        <v>357</v>
      </c>
      <c r="G165" s="11" t="str">
        <f t="shared" si="2"/>
        <v>positive</v>
      </c>
    </row>
    <row r="166" spans="1:7" x14ac:dyDescent="0.45">
      <c r="A166" t="s">
        <v>358</v>
      </c>
      <c r="B166" t="s">
        <v>23</v>
      </c>
      <c r="C166" s="7">
        <v>5</v>
      </c>
      <c r="D166" t="s">
        <v>359</v>
      </c>
      <c r="G166" s="11" t="str">
        <f t="shared" si="2"/>
        <v>positive</v>
      </c>
    </row>
    <row r="167" spans="1:7" x14ac:dyDescent="0.45">
      <c r="A167" t="s">
        <v>360</v>
      </c>
      <c r="B167" t="s">
        <v>26</v>
      </c>
      <c r="C167" s="7">
        <v>5</v>
      </c>
      <c r="D167" t="s">
        <v>361</v>
      </c>
      <c r="G167" s="11" t="str">
        <f t="shared" si="2"/>
        <v>positive</v>
      </c>
    </row>
    <row r="168" spans="1:7" x14ac:dyDescent="0.45">
      <c r="A168" t="s">
        <v>362</v>
      </c>
      <c r="B168" t="s">
        <v>31</v>
      </c>
      <c r="C168" s="7">
        <v>5</v>
      </c>
      <c r="D168" t="s">
        <v>363</v>
      </c>
      <c r="G168" s="11" t="str">
        <f t="shared" si="2"/>
        <v>positive</v>
      </c>
    </row>
    <row r="169" spans="1:7" x14ac:dyDescent="0.45">
      <c r="A169" t="s">
        <v>364</v>
      </c>
      <c r="B169" t="s">
        <v>23</v>
      </c>
      <c r="C169" s="7">
        <v>5</v>
      </c>
      <c r="D169" t="s">
        <v>365</v>
      </c>
      <c r="G169" s="11" t="str">
        <f t="shared" si="2"/>
        <v>positive</v>
      </c>
    </row>
    <row r="170" spans="1:7" x14ac:dyDescent="0.45">
      <c r="A170" t="s">
        <v>366</v>
      </c>
      <c r="B170" t="s">
        <v>31</v>
      </c>
      <c r="C170" s="7">
        <v>5</v>
      </c>
      <c r="D170" t="s">
        <v>367</v>
      </c>
      <c r="G170" s="11" t="str">
        <f t="shared" si="2"/>
        <v>positive</v>
      </c>
    </row>
    <row r="171" spans="1:7" x14ac:dyDescent="0.45">
      <c r="A171" t="s">
        <v>368</v>
      </c>
      <c r="B171" t="s">
        <v>26</v>
      </c>
      <c r="C171" s="7">
        <v>5</v>
      </c>
      <c r="D171" t="s">
        <v>369</v>
      </c>
      <c r="G171" s="11" t="str">
        <f t="shared" si="2"/>
        <v>positive</v>
      </c>
    </row>
    <row r="172" spans="1:7" x14ac:dyDescent="0.45">
      <c r="A172" t="s">
        <v>370</v>
      </c>
      <c r="B172" t="s">
        <v>23</v>
      </c>
      <c r="C172" s="7">
        <v>5</v>
      </c>
      <c r="D172" t="s">
        <v>371</v>
      </c>
      <c r="G172" s="11" t="str">
        <f t="shared" si="2"/>
        <v>positive</v>
      </c>
    </row>
    <row r="173" spans="1:7" x14ac:dyDescent="0.45">
      <c r="A173" t="s">
        <v>372</v>
      </c>
      <c r="B173" t="s">
        <v>23</v>
      </c>
      <c r="C173" s="7">
        <v>5</v>
      </c>
      <c r="D173" t="s">
        <v>373</v>
      </c>
      <c r="G173" s="11" t="str">
        <f t="shared" si="2"/>
        <v>positive</v>
      </c>
    </row>
    <row r="174" spans="1:7" x14ac:dyDescent="0.45">
      <c r="A174" t="s">
        <v>374</v>
      </c>
      <c r="B174" t="s">
        <v>23</v>
      </c>
      <c r="C174" s="7">
        <v>5</v>
      </c>
      <c r="D174" t="s">
        <v>375</v>
      </c>
      <c r="G174" s="11" t="str">
        <f t="shared" si="2"/>
        <v>positive</v>
      </c>
    </row>
    <row r="175" spans="1:7" x14ac:dyDescent="0.45">
      <c r="A175" t="s">
        <v>376</v>
      </c>
      <c r="B175" t="s">
        <v>23</v>
      </c>
      <c r="C175" s="7">
        <v>4</v>
      </c>
      <c r="D175" t="s">
        <v>377</v>
      </c>
      <c r="G175" s="11" t="str">
        <f t="shared" si="2"/>
        <v>positive</v>
      </c>
    </row>
    <row r="176" spans="1:7" x14ac:dyDescent="0.45">
      <c r="A176" t="s">
        <v>378</v>
      </c>
      <c r="B176" t="s">
        <v>23</v>
      </c>
      <c r="C176" s="7">
        <v>4</v>
      </c>
      <c r="D176" t="s">
        <v>379</v>
      </c>
      <c r="G176" s="11" t="str">
        <f t="shared" si="2"/>
        <v>positive</v>
      </c>
    </row>
    <row r="177" spans="1:7" x14ac:dyDescent="0.45">
      <c r="A177" t="s">
        <v>380</v>
      </c>
      <c r="B177" t="s">
        <v>23</v>
      </c>
      <c r="C177" s="7">
        <v>5</v>
      </c>
      <c r="D177" t="s">
        <v>381</v>
      </c>
      <c r="G177" s="11" t="str">
        <f t="shared" si="2"/>
        <v>positive</v>
      </c>
    </row>
    <row r="178" spans="1:7" x14ac:dyDescent="0.45">
      <c r="A178" t="s">
        <v>382</v>
      </c>
      <c r="B178" t="s">
        <v>143</v>
      </c>
      <c r="C178" s="7">
        <v>5</v>
      </c>
      <c r="D178" t="s">
        <v>383</v>
      </c>
      <c r="G178" s="11" t="str">
        <f t="shared" si="2"/>
        <v>positive</v>
      </c>
    </row>
    <row r="179" spans="1:7" x14ac:dyDescent="0.45">
      <c r="A179" t="s">
        <v>384</v>
      </c>
      <c r="B179" t="s">
        <v>74</v>
      </c>
      <c r="C179" s="7">
        <v>5</v>
      </c>
      <c r="D179" t="s">
        <v>385</v>
      </c>
      <c r="G179" s="11" t="str">
        <f t="shared" si="2"/>
        <v>positive</v>
      </c>
    </row>
    <row r="180" spans="1:7" x14ac:dyDescent="0.45">
      <c r="A180" t="s">
        <v>386</v>
      </c>
      <c r="B180" t="s">
        <v>31</v>
      </c>
      <c r="C180" s="7">
        <v>4</v>
      </c>
      <c r="D180" t="s">
        <v>387</v>
      </c>
      <c r="G180" s="11" t="str">
        <f t="shared" si="2"/>
        <v>positive</v>
      </c>
    </row>
    <row r="181" spans="1:7" x14ac:dyDescent="0.45">
      <c r="A181" t="s">
        <v>388</v>
      </c>
      <c r="B181" t="s">
        <v>7</v>
      </c>
      <c r="C181" s="7">
        <v>5</v>
      </c>
      <c r="D181" t="s">
        <v>389</v>
      </c>
      <c r="G181" s="11" t="str">
        <f t="shared" si="2"/>
        <v>positive</v>
      </c>
    </row>
    <row r="182" spans="1:7" x14ac:dyDescent="0.45">
      <c r="A182" t="s">
        <v>390</v>
      </c>
      <c r="B182" t="s">
        <v>23</v>
      </c>
      <c r="C182" s="7">
        <v>5</v>
      </c>
      <c r="D182" t="s">
        <v>391</v>
      </c>
      <c r="G182" s="11" t="str">
        <f t="shared" si="2"/>
        <v>positive</v>
      </c>
    </row>
    <row r="183" spans="1:7" x14ac:dyDescent="0.45">
      <c r="A183" t="s">
        <v>392</v>
      </c>
      <c r="B183" t="s">
        <v>23</v>
      </c>
      <c r="C183" s="7">
        <v>4</v>
      </c>
      <c r="D183" t="s">
        <v>393</v>
      </c>
      <c r="G183" s="11" t="str">
        <f t="shared" si="2"/>
        <v>positive</v>
      </c>
    </row>
    <row r="184" spans="1:7" x14ac:dyDescent="0.45">
      <c r="A184" t="s">
        <v>394</v>
      </c>
      <c r="B184" t="s">
        <v>31</v>
      </c>
      <c r="C184" s="7">
        <v>5</v>
      </c>
      <c r="D184" t="s">
        <v>395</v>
      </c>
      <c r="G184" s="11" t="str">
        <f t="shared" si="2"/>
        <v>positive</v>
      </c>
    </row>
    <row r="185" spans="1:7" x14ac:dyDescent="0.45">
      <c r="A185" t="s">
        <v>396</v>
      </c>
      <c r="B185" t="s">
        <v>74</v>
      </c>
      <c r="C185" s="7">
        <v>5</v>
      </c>
      <c r="D185" t="s">
        <v>397</v>
      </c>
      <c r="G185" s="11" t="str">
        <f t="shared" si="2"/>
        <v>positive</v>
      </c>
    </row>
    <row r="186" spans="1:7" x14ac:dyDescent="0.45">
      <c r="A186" t="s">
        <v>398</v>
      </c>
      <c r="B186" t="s">
        <v>129</v>
      </c>
      <c r="C186" s="7">
        <v>3</v>
      </c>
      <c r="D186" t="s">
        <v>399</v>
      </c>
      <c r="G186" s="11" t="str">
        <f t="shared" si="2"/>
        <v>neutral</v>
      </c>
    </row>
    <row r="187" spans="1:7" x14ac:dyDescent="0.45">
      <c r="A187" t="s">
        <v>400</v>
      </c>
      <c r="B187" t="s">
        <v>129</v>
      </c>
      <c r="C187" s="7">
        <v>1</v>
      </c>
      <c r="D187" t="s">
        <v>401</v>
      </c>
      <c r="G187" s="11" t="str">
        <f t="shared" si="2"/>
        <v>negative</v>
      </c>
    </row>
    <row r="188" spans="1:7" x14ac:dyDescent="0.45">
      <c r="A188" t="s">
        <v>402</v>
      </c>
      <c r="B188" t="s">
        <v>143</v>
      </c>
      <c r="C188" s="7">
        <v>5</v>
      </c>
      <c r="D188" t="s">
        <v>403</v>
      </c>
      <c r="G188" s="11" t="str">
        <f t="shared" si="2"/>
        <v>positive</v>
      </c>
    </row>
    <row r="189" spans="1:7" x14ac:dyDescent="0.45">
      <c r="A189" t="s">
        <v>404</v>
      </c>
      <c r="B189" t="s">
        <v>26</v>
      </c>
      <c r="C189" s="7">
        <v>5</v>
      </c>
      <c r="D189" t="s">
        <v>405</v>
      </c>
      <c r="G189" s="11" t="str">
        <f t="shared" si="2"/>
        <v>positive</v>
      </c>
    </row>
    <row r="190" spans="1:7" x14ac:dyDescent="0.45">
      <c r="A190" t="s">
        <v>406</v>
      </c>
      <c r="B190" t="s">
        <v>23</v>
      </c>
      <c r="C190" s="7">
        <v>5</v>
      </c>
      <c r="D190" t="s">
        <v>407</v>
      </c>
      <c r="G190" s="11" t="str">
        <f t="shared" si="2"/>
        <v>positive</v>
      </c>
    </row>
    <row r="191" spans="1:7" x14ac:dyDescent="0.45">
      <c r="A191" t="s">
        <v>408</v>
      </c>
      <c r="B191" t="s">
        <v>26</v>
      </c>
      <c r="C191" s="7">
        <v>5</v>
      </c>
      <c r="D191" t="s">
        <v>409</v>
      </c>
      <c r="G191" s="11" t="str">
        <f t="shared" si="2"/>
        <v>positive</v>
      </c>
    </row>
    <row r="192" spans="1:7" x14ac:dyDescent="0.45">
      <c r="A192" t="s">
        <v>410</v>
      </c>
      <c r="B192" t="s">
        <v>411</v>
      </c>
      <c r="C192" s="7">
        <v>5</v>
      </c>
      <c r="D192" t="s">
        <v>412</v>
      </c>
      <c r="G192" s="11" t="str">
        <f t="shared" si="2"/>
        <v>positive</v>
      </c>
    </row>
    <row r="193" spans="1:7" x14ac:dyDescent="0.45">
      <c r="A193" t="s">
        <v>413</v>
      </c>
      <c r="B193" t="s">
        <v>23</v>
      </c>
      <c r="C193" s="7">
        <v>5</v>
      </c>
      <c r="D193" t="s">
        <v>414</v>
      </c>
      <c r="G193" s="11" t="str">
        <f t="shared" si="2"/>
        <v>positive</v>
      </c>
    </row>
    <row r="194" spans="1:7" x14ac:dyDescent="0.45">
      <c r="A194" t="s">
        <v>415</v>
      </c>
      <c r="B194" t="s">
        <v>31</v>
      </c>
      <c r="C194" s="7">
        <v>5</v>
      </c>
      <c r="D194" t="s">
        <v>416</v>
      </c>
      <c r="G194" s="11" t="str">
        <f t="shared" si="2"/>
        <v>positive</v>
      </c>
    </row>
    <row r="195" spans="1:7" x14ac:dyDescent="0.45">
      <c r="A195" t="s">
        <v>417</v>
      </c>
      <c r="B195" t="s">
        <v>31</v>
      </c>
      <c r="C195" s="7">
        <v>4</v>
      </c>
      <c r="D195" t="s">
        <v>418</v>
      </c>
      <c r="G195" s="11" t="str">
        <f t="shared" ref="G195:G258" si="3">IF(C195&gt;=4,"positive", IF(C195&gt;=3,"neutral","negative"))</f>
        <v>positive</v>
      </c>
    </row>
    <row r="196" spans="1:7" x14ac:dyDescent="0.45">
      <c r="A196" t="s">
        <v>419</v>
      </c>
      <c r="B196" t="s">
        <v>23</v>
      </c>
      <c r="C196" s="7">
        <v>5</v>
      </c>
      <c r="D196" t="s">
        <v>420</v>
      </c>
      <c r="G196" s="11" t="str">
        <f t="shared" si="3"/>
        <v>positive</v>
      </c>
    </row>
    <row r="197" spans="1:7" x14ac:dyDescent="0.45">
      <c r="A197" t="s">
        <v>421</v>
      </c>
      <c r="B197" t="s">
        <v>31</v>
      </c>
      <c r="C197" s="7">
        <v>5</v>
      </c>
      <c r="D197" t="s">
        <v>422</v>
      </c>
      <c r="G197" s="11" t="str">
        <f t="shared" si="3"/>
        <v>positive</v>
      </c>
    </row>
    <row r="198" spans="1:7" x14ac:dyDescent="0.45">
      <c r="A198" t="s">
        <v>423</v>
      </c>
      <c r="B198" t="s">
        <v>74</v>
      </c>
      <c r="C198" s="7">
        <v>5</v>
      </c>
      <c r="D198" t="s">
        <v>424</v>
      </c>
      <c r="G198" s="11" t="str">
        <f t="shared" si="3"/>
        <v>positive</v>
      </c>
    </row>
    <row r="199" spans="1:7" x14ac:dyDescent="0.45">
      <c r="A199" t="s">
        <v>425</v>
      </c>
      <c r="B199" t="s">
        <v>200</v>
      </c>
      <c r="C199" s="7">
        <v>5</v>
      </c>
      <c r="D199" t="s">
        <v>426</v>
      </c>
      <c r="G199" s="11" t="str">
        <f t="shared" si="3"/>
        <v>positive</v>
      </c>
    </row>
    <row r="200" spans="1:7" x14ac:dyDescent="0.45">
      <c r="A200" t="s">
        <v>427</v>
      </c>
      <c r="B200" t="s">
        <v>23</v>
      </c>
      <c r="C200" s="7">
        <v>5</v>
      </c>
      <c r="D200" t="s">
        <v>428</v>
      </c>
      <c r="G200" s="11" t="str">
        <f t="shared" si="3"/>
        <v>positive</v>
      </c>
    </row>
    <row r="201" spans="1:7" x14ac:dyDescent="0.45">
      <c r="A201" t="s">
        <v>429</v>
      </c>
      <c r="B201" t="s">
        <v>74</v>
      </c>
      <c r="C201" s="7">
        <v>5</v>
      </c>
      <c r="D201" t="s">
        <v>430</v>
      </c>
      <c r="G201" s="11" t="str">
        <f t="shared" si="3"/>
        <v>positive</v>
      </c>
    </row>
    <row r="202" spans="1:7" x14ac:dyDescent="0.45">
      <c r="A202" t="s">
        <v>431</v>
      </c>
      <c r="B202" t="s">
        <v>62</v>
      </c>
      <c r="C202" s="7">
        <v>5</v>
      </c>
      <c r="D202" t="s">
        <v>432</v>
      </c>
      <c r="G202" s="11" t="str">
        <f t="shared" si="3"/>
        <v>positive</v>
      </c>
    </row>
    <row r="203" spans="1:7" x14ac:dyDescent="0.45">
      <c r="A203" t="s">
        <v>433</v>
      </c>
      <c r="B203" t="s">
        <v>23</v>
      </c>
      <c r="C203" s="7">
        <v>5</v>
      </c>
      <c r="D203" t="s">
        <v>434</v>
      </c>
      <c r="G203" s="11" t="str">
        <f t="shared" si="3"/>
        <v>positive</v>
      </c>
    </row>
    <row r="204" spans="1:7" x14ac:dyDescent="0.45">
      <c r="A204" t="s">
        <v>435</v>
      </c>
      <c r="B204" t="s">
        <v>23</v>
      </c>
      <c r="C204" s="7">
        <v>5</v>
      </c>
      <c r="D204" t="s">
        <v>436</v>
      </c>
      <c r="G204" s="11" t="str">
        <f t="shared" si="3"/>
        <v>positive</v>
      </c>
    </row>
    <row r="205" spans="1:7" x14ac:dyDescent="0.45">
      <c r="A205" t="s">
        <v>437</v>
      </c>
      <c r="B205" t="s">
        <v>23</v>
      </c>
      <c r="C205" s="7">
        <v>5</v>
      </c>
      <c r="D205" t="s">
        <v>438</v>
      </c>
      <c r="G205" s="11" t="str">
        <f t="shared" si="3"/>
        <v>positive</v>
      </c>
    </row>
    <row r="206" spans="1:7" x14ac:dyDescent="0.45">
      <c r="A206" t="s">
        <v>439</v>
      </c>
      <c r="B206" t="s">
        <v>290</v>
      </c>
      <c r="C206" s="7">
        <v>5</v>
      </c>
      <c r="D206" t="s">
        <v>440</v>
      </c>
      <c r="G206" s="11" t="str">
        <f t="shared" si="3"/>
        <v>positive</v>
      </c>
    </row>
    <row r="207" spans="1:7" x14ac:dyDescent="0.45">
      <c r="A207" t="s">
        <v>441</v>
      </c>
      <c r="B207" t="s">
        <v>57</v>
      </c>
      <c r="C207" s="7">
        <v>5</v>
      </c>
      <c r="D207" t="s">
        <v>442</v>
      </c>
      <c r="G207" s="11" t="str">
        <f t="shared" si="3"/>
        <v>positive</v>
      </c>
    </row>
    <row r="208" spans="1:7" x14ac:dyDescent="0.45">
      <c r="A208" t="s">
        <v>443</v>
      </c>
      <c r="B208" t="s">
        <v>23</v>
      </c>
      <c r="C208" s="7">
        <v>5</v>
      </c>
      <c r="D208" t="s">
        <v>444</v>
      </c>
      <c r="G208" s="11" t="str">
        <f t="shared" si="3"/>
        <v>positive</v>
      </c>
    </row>
    <row r="209" spans="1:7" x14ac:dyDescent="0.45">
      <c r="A209" t="s">
        <v>445</v>
      </c>
      <c r="B209" t="s">
        <v>23</v>
      </c>
      <c r="C209" s="7">
        <v>5</v>
      </c>
      <c r="D209" t="s">
        <v>446</v>
      </c>
      <c r="G209" s="11" t="str">
        <f t="shared" si="3"/>
        <v>positive</v>
      </c>
    </row>
    <row r="210" spans="1:7" x14ac:dyDescent="0.45">
      <c r="A210" t="s">
        <v>447</v>
      </c>
      <c r="B210" t="s">
        <v>13</v>
      </c>
      <c r="C210" s="7">
        <v>4</v>
      </c>
      <c r="D210" t="s">
        <v>448</v>
      </c>
      <c r="G210" s="11" t="str">
        <f t="shared" si="3"/>
        <v>positive</v>
      </c>
    </row>
    <row r="211" spans="1:7" x14ac:dyDescent="0.45">
      <c r="A211" t="s">
        <v>449</v>
      </c>
      <c r="B211" t="s">
        <v>23</v>
      </c>
      <c r="C211" s="7">
        <v>5</v>
      </c>
      <c r="D211" t="s">
        <v>450</v>
      </c>
      <c r="G211" s="11" t="str">
        <f t="shared" si="3"/>
        <v>positive</v>
      </c>
    </row>
    <row r="212" spans="1:7" x14ac:dyDescent="0.45">
      <c r="A212" t="s">
        <v>451</v>
      </c>
      <c r="B212" t="s">
        <v>23</v>
      </c>
      <c r="C212" s="7">
        <v>5</v>
      </c>
      <c r="D212" t="s">
        <v>452</v>
      </c>
      <c r="G212" s="11" t="str">
        <f t="shared" si="3"/>
        <v>positive</v>
      </c>
    </row>
    <row r="213" spans="1:7" x14ac:dyDescent="0.45">
      <c r="A213" t="s">
        <v>453</v>
      </c>
      <c r="B213" t="s">
        <v>31</v>
      </c>
      <c r="C213" s="7">
        <v>5</v>
      </c>
      <c r="D213" t="s">
        <v>454</v>
      </c>
      <c r="G213" s="11" t="str">
        <f t="shared" si="3"/>
        <v>positive</v>
      </c>
    </row>
    <row r="214" spans="1:7" x14ac:dyDescent="0.45">
      <c r="A214" t="s">
        <v>455</v>
      </c>
      <c r="B214" t="s">
        <v>138</v>
      </c>
      <c r="C214" s="7">
        <v>5</v>
      </c>
      <c r="D214" t="s">
        <v>456</v>
      </c>
      <c r="G214" s="11" t="str">
        <f t="shared" si="3"/>
        <v>positive</v>
      </c>
    </row>
    <row r="215" spans="1:7" x14ac:dyDescent="0.45">
      <c r="A215" t="s">
        <v>457</v>
      </c>
      <c r="B215" t="s">
        <v>23</v>
      </c>
      <c r="C215" s="7">
        <v>5</v>
      </c>
      <c r="D215" t="s">
        <v>458</v>
      </c>
      <c r="G215" s="11" t="str">
        <f t="shared" si="3"/>
        <v>positive</v>
      </c>
    </row>
    <row r="216" spans="1:7" x14ac:dyDescent="0.45">
      <c r="A216" t="s">
        <v>459</v>
      </c>
      <c r="B216" t="s">
        <v>460</v>
      </c>
      <c r="C216" s="7">
        <v>4</v>
      </c>
      <c r="D216" t="s">
        <v>461</v>
      </c>
      <c r="G216" s="11" t="str">
        <f t="shared" si="3"/>
        <v>positive</v>
      </c>
    </row>
    <row r="217" spans="1:7" x14ac:dyDescent="0.45">
      <c r="A217" t="s">
        <v>462</v>
      </c>
      <c r="B217" t="s">
        <v>31</v>
      </c>
      <c r="C217" s="7">
        <v>5</v>
      </c>
      <c r="D217" t="s">
        <v>463</v>
      </c>
      <c r="G217" s="11" t="str">
        <f t="shared" si="3"/>
        <v>positive</v>
      </c>
    </row>
    <row r="218" spans="1:7" x14ac:dyDescent="0.45">
      <c r="A218" t="s">
        <v>464</v>
      </c>
      <c r="B218" t="s">
        <v>23</v>
      </c>
      <c r="C218" s="7">
        <v>5</v>
      </c>
      <c r="D218" t="s">
        <v>465</v>
      </c>
      <c r="G218" s="11" t="str">
        <f t="shared" si="3"/>
        <v>positive</v>
      </c>
    </row>
    <row r="219" spans="1:7" x14ac:dyDescent="0.45">
      <c r="A219" t="s">
        <v>466</v>
      </c>
      <c r="B219" t="s">
        <v>467</v>
      </c>
      <c r="C219" s="7">
        <v>4</v>
      </c>
      <c r="D219" t="s">
        <v>468</v>
      </c>
      <c r="G219" s="11" t="str">
        <f t="shared" si="3"/>
        <v>positive</v>
      </c>
    </row>
    <row r="220" spans="1:7" x14ac:dyDescent="0.45">
      <c r="A220" t="s">
        <v>469</v>
      </c>
      <c r="B220" t="s">
        <v>200</v>
      </c>
      <c r="C220" s="7">
        <v>3</v>
      </c>
      <c r="D220" t="s">
        <v>470</v>
      </c>
      <c r="G220" s="11" t="str">
        <f t="shared" si="3"/>
        <v>neutral</v>
      </c>
    </row>
    <row r="221" spans="1:7" x14ac:dyDescent="0.45">
      <c r="A221" t="s">
        <v>471</v>
      </c>
      <c r="B221" t="s">
        <v>31</v>
      </c>
      <c r="C221" s="7">
        <v>5</v>
      </c>
      <c r="D221" t="s">
        <v>472</v>
      </c>
      <c r="G221" s="11" t="str">
        <f t="shared" si="3"/>
        <v>positive</v>
      </c>
    </row>
    <row r="222" spans="1:7" x14ac:dyDescent="0.45">
      <c r="A222" t="s">
        <v>473</v>
      </c>
      <c r="B222" t="s">
        <v>31</v>
      </c>
      <c r="C222" s="7">
        <v>5</v>
      </c>
      <c r="D222" t="s">
        <v>474</v>
      </c>
      <c r="G222" s="11" t="str">
        <f t="shared" si="3"/>
        <v>positive</v>
      </c>
    </row>
    <row r="223" spans="1:7" x14ac:dyDescent="0.45">
      <c r="A223" t="s">
        <v>475</v>
      </c>
      <c r="B223" t="s">
        <v>62</v>
      </c>
      <c r="C223" s="7">
        <v>4</v>
      </c>
      <c r="D223" t="s">
        <v>476</v>
      </c>
      <c r="G223" s="11" t="str">
        <f t="shared" si="3"/>
        <v>positive</v>
      </c>
    </row>
    <row r="224" spans="1:7" x14ac:dyDescent="0.45">
      <c r="A224" t="s">
        <v>477</v>
      </c>
      <c r="B224" t="s">
        <v>23</v>
      </c>
      <c r="C224" s="7">
        <v>5</v>
      </c>
      <c r="D224" t="s">
        <v>478</v>
      </c>
      <c r="G224" s="11" t="str">
        <f t="shared" si="3"/>
        <v>positive</v>
      </c>
    </row>
    <row r="225" spans="1:7" x14ac:dyDescent="0.45">
      <c r="A225" t="s">
        <v>479</v>
      </c>
      <c r="B225" t="s">
        <v>74</v>
      </c>
      <c r="C225" s="7">
        <v>5</v>
      </c>
      <c r="D225" t="s">
        <v>480</v>
      </c>
      <c r="G225" s="11" t="str">
        <f t="shared" si="3"/>
        <v>positive</v>
      </c>
    </row>
    <row r="226" spans="1:7" x14ac:dyDescent="0.45">
      <c r="A226" t="s">
        <v>481</v>
      </c>
      <c r="B226" t="s">
        <v>23</v>
      </c>
      <c r="C226" s="7">
        <v>5</v>
      </c>
      <c r="D226" t="s">
        <v>482</v>
      </c>
      <c r="G226" s="11" t="str">
        <f t="shared" si="3"/>
        <v>positive</v>
      </c>
    </row>
    <row r="227" spans="1:7" x14ac:dyDescent="0.45">
      <c r="A227" t="s">
        <v>483</v>
      </c>
      <c r="B227" t="s">
        <v>138</v>
      </c>
      <c r="C227" s="7">
        <v>5</v>
      </c>
      <c r="D227" t="s">
        <v>484</v>
      </c>
      <c r="G227" s="11" t="str">
        <f t="shared" si="3"/>
        <v>positive</v>
      </c>
    </row>
    <row r="228" spans="1:7" x14ac:dyDescent="0.45">
      <c r="A228" t="s">
        <v>485</v>
      </c>
      <c r="B228" t="s">
        <v>31</v>
      </c>
      <c r="C228" s="7">
        <v>5</v>
      </c>
      <c r="D228" t="s">
        <v>486</v>
      </c>
      <c r="G228" s="11" t="str">
        <f t="shared" si="3"/>
        <v>positive</v>
      </c>
    </row>
    <row r="229" spans="1:7" x14ac:dyDescent="0.45">
      <c r="A229" t="s">
        <v>487</v>
      </c>
      <c r="B229" t="s">
        <v>74</v>
      </c>
      <c r="C229" s="7">
        <v>5</v>
      </c>
      <c r="D229" t="s">
        <v>488</v>
      </c>
      <c r="G229" s="11" t="str">
        <f t="shared" si="3"/>
        <v>positive</v>
      </c>
    </row>
    <row r="230" spans="1:7" x14ac:dyDescent="0.45">
      <c r="A230" t="s">
        <v>489</v>
      </c>
      <c r="B230" t="s">
        <v>74</v>
      </c>
      <c r="C230" s="7">
        <v>5</v>
      </c>
      <c r="D230" t="s">
        <v>490</v>
      </c>
      <c r="G230" s="11" t="str">
        <f t="shared" si="3"/>
        <v>positive</v>
      </c>
    </row>
    <row r="231" spans="1:7" x14ac:dyDescent="0.45">
      <c r="A231" t="s">
        <v>491</v>
      </c>
      <c r="B231" t="s">
        <v>74</v>
      </c>
      <c r="C231" s="7">
        <v>5</v>
      </c>
      <c r="D231" t="s">
        <v>492</v>
      </c>
      <c r="G231" s="11" t="str">
        <f t="shared" si="3"/>
        <v>positive</v>
      </c>
    </row>
    <row r="232" spans="1:7" x14ac:dyDescent="0.45">
      <c r="A232" t="s">
        <v>493</v>
      </c>
      <c r="B232" t="s">
        <v>26</v>
      </c>
      <c r="C232" s="7">
        <v>4</v>
      </c>
      <c r="D232" t="s">
        <v>494</v>
      </c>
      <c r="G232" s="11" t="str">
        <f t="shared" si="3"/>
        <v>positive</v>
      </c>
    </row>
    <row r="233" spans="1:7" x14ac:dyDescent="0.45">
      <c r="A233" t="s">
        <v>495</v>
      </c>
      <c r="B233" t="s">
        <v>31</v>
      </c>
      <c r="C233" s="7">
        <v>5</v>
      </c>
      <c r="D233" t="s">
        <v>496</v>
      </c>
      <c r="G233" s="11" t="str">
        <f t="shared" si="3"/>
        <v>positive</v>
      </c>
    </row>
    <row r="234" spans="1:7" x14ac:dyDescent="0.45">
      <c r="A234" t="s">
        <v>497</v>
      </c>
      <c r="B234" t="s">
        <v>23</v>
      </c>
      <c r="C234" s="7">
        <v>5</v>
      </c>
      <c r="D234" t="s">
        <v>498</v>
      </c>
      <c r="G234" s="11" t="str">
        <f t="shared" si="3"/>
        <v>positive</v>
      </c>
    </row>
    <row r="235" spans="1:7" x14ac:dyDescent="0.45">
      <c r="A235" t="s">
        <v>499</v>
      </c>
      <c r="B235" t="s">
        <v>31</v>
      </c>
      <c r="C235" s="7">
        <v>5</v>
      </c>
      <c r="D235" t="s">
        <v>500</v>
      </c>
      <c r="G235" s="11" t="str">
        <f t="shared" si="3"/>
        <v>positive</v>
      </c>
    </row>
    <row r="236" spans="1:7" x14ac:dyDescent="0.45">
      <c r="A236" t="s">
        <v>501</v>
      </c>
      <c r="B236" t="s">
        <v>62</v>
      </c>
      <c r="C236" s="7">
        <v>4</v>
      </c>
      <c r="D236" t="s">
        <v>502</v>
      </c>
      <c r="G236" s="11" t="str">
        <f t="shared" si="3"/>
        <v>positive</v>
      </c>
    </row>
    <row r="237" spans="1:7" x14ac:dyDescent="0.45">
      <c r="A237" t="s">
        <v>503</v>
      </c>
      <c r="B237" t="s">
        <v>23</v>
      </c>
      <c r="C237" s="7">
        <v>5</v>
      </c>
      <c r="D237" t="s">
        <v>504</v>
      </c>
      <c r="G237" s="11" t="str">
        <f t="shared" si="3"/>
        <v>positive</v>
      </c>
    </row>
    <row r="238" spans="1:7" x14ac:dyDescent="0.45">
      <c r="A238" t="s">
        <v>505</v>
      </c>
      <c r="B238" t="s">
        <v>10</v>
      </c>
      <c r="C238" s="7">
        <v>5</v>
      </c>
      <c r="D238" t="s">
        <v>506</v>
      </c>
      <c r="G238" s="11" t="str">
        <f t="shared" si="3"/>
        <v>positive</v>
      </c>
    </row>
    <row r="239" spans="1:7" x14ac:dyDescent="0.45">
      <c r="A239" t="s">
        <v>507</v>
      </c>
      <c r="B239" t="s">
        <v>460</v>
      </c>
      <c r="C239" s="7">
        <v>4</v>
      </c>
      <c r="D239" t="s">
        <v>508</v>
      </c>
      <c r="G239" s="11" t="str">
        <f t="shared" si="3"/>
        <v>positive</v>
      </c>
    </row>
    <row r="240" spans="1:7" x14ac:dyDescent="0.45">
      <c r="A240" t="s">
        <v>509</v>
      </c>
      <c r="B240" t="s">
        <v>23</v>
      </c>
      <c r="C240" s="7">
        <v>5</v>
      </c>
      <c r="D240" t="s">
        <v>510</v>
      </c>
      <c r="G240" s="11" t="str">
        <f t="shared" si="3"/>
        <v>positive</v>
      </c>
    </row>
    <row r="241" spans="1:7" x14ac:dyDescent="0.45">
      <c r="A241" t="s">
        <v>511</v>
      </c>
      <c r="B241" t="s">
        <v>23</v>
      </c>
      <c r="C241" s="7">
        <v>4</v>
      </c>
      <c r="D241" t="s">
        <v>512</v>
      </c>
      <c r="G241" s="11" t="str">
        <f t="shared" si="3"/>
        <v>positive</v>
      </c>
    </row>
    <row r="242" spans="1:7" x14ac:dyDescent="0.45">
      <c r="A242" t="s">
        <v>513</v>
      </c>
      <c r="B242" t="s">
        <v>23</v>
      </c>
      <c r="C242" s="7">
        <v>5</v>
      </c>
      <c r="D242" t="s">
        <v>514</v>
      </c>
      <c r="G242" s="11" t="str">
        <f t="shared" si="3"/>
        <v>positive</v>
      </c>
    </row>
    <row r="243" spans="1:7" x14ac:dyDescent="0.45">
      <c r="A243" t="s">
        <v>515</v>
      </c>
      <c r="B243" t="s">
        <v>74</v>
      </c>
      <c r="C243" s="7">
        <v>4</v>
      </c>
      <c r="D243" t="s">
        <v>516</v>
      </c>
      <c r="G243" s="11" t="str">
        <f t="shared" si="3"/>
        <v>positive</v>
      </c>
    </row>
    <row r="244" spans="1:7" x14ac:dyDescent="0.45">
      <c r="A244" t="s">
        <v>517</v>
      </c>
      <c r="B244" t="s">
        <v>23</v>
      </c>
      <c r="C244" s="7">
        <v>5</v>
      </c>
      <c r="D244" t="s">
        <v>518</v>
      </c>
      <c r="G244" s="11" t="str">
        <f t="shared" si="3"/>
        <v>positive</v>
      </c>
    </row>
    <row r="245" spans="1:7" x14ac:dyDescent="0.45">
      <c r="A245" t="s">
        <v>519</v>
      </c>
      <c r="B245" t="s">
        <v>138</v>
      </c>
      <c r="C245" s="7">
        <v>5</v>
      </c>
      <c r="D245" t="s">
        <v>520</v>
      </c>
      <c r="G245" s="11" t="str">
        <f t="shared" si="3"/>
        <v>positive</v>
      </c>
    </row>
    <row r="246" spans="1:7" x14ac:dyDescent="0.45">
      <c r="A246" t="s">
        <v>521</v>
      </c>
      <c r="B246" t="s">
        <v>290</v>
      </c>
      <c r="C246" s="7">
        <v>5</v>
      </c>
      <c r="D246" t="s">
        <v>522</v>
      </c>
      <c r="G246" s="11" t="str">
        <f t="shared" si="3"/>
        <v>positive</v>
      </c>
    </row>
    <row r="247" spans="1:7" x14ac:dyDescent="0.45">
      <c r="A247" t="s">
        <v>523</v>
      </c>
      <c r="B247" t="s">
        <v>26</v>
      </c>
      <c r="C247" s="7">
        <v>4</v>
      </c>
      <c r="D247" t="s">
        <v>524</v>
      </c>
      <c r="G247" s="11" t="str">
        <f t="shared" si="3"/>
        <v>positive</v>
      </c>
    </row>
    <row r="248" spans="1:7" x14ac:dyDescent="0.45">
      <c r="A248" t="s">
        <v>525</v>
      </c>
      <c r="B248" t="s">
        <v>23</v>
      </c>
      <c r="C248" s="7">
        <v>3</v>
      </c>
      <c r="D248" t="s">
        <v>526</v>
      </c>
      <c r="G248" s="11" t="str">
        <f t="shared" si="3"/>
        <v>neutral</v>
      </c>
    </row>
    <row r="249" spans="1:7" x14ac:dyDescent="0.45">
      <c r="A249" t="s">
        <v>527</v>
      </c>
      <c r="B249" t="s">
        <v>23</v>
      </c>
      <c r="C249" s="7">
        <v>5</v>
      </c>
      <c r="D249" t="s">
        <v>528</v>
      </c>
      <c r="G249" s="11" t="str">
        <f t="shared" si="3"/>
        <v>positive</v>
      </c>
    </row>
    <row r="250" spans="1:7" x14ac:dyDescent="0.45">
      <c r="A250" t="s">
        <v>529</v>
      </c>
      <c r="B250" t="s">
        <v>31</v>
      </c>
      <c r="C250" s="7">
        <v>5</v>
      </c>
      <c r="D250" t="s">
        <v>530</v>
      </c>
      <c r="G250" s="11" t="str">
        <f t="shared" si="3"/>
        <v>positive</v>
      </c>
    </row>
    <row r="251" spans="1:7" x14ac:dyDescent="0.45">
      <c r="A251" t="s">
        <v>531</v>
      </c>
      <c r="B251" t="s">
        <v>26</v>
      </c>
      <c r="C251" s="7">
        <v>5</v>
      </c>
      <c r="D251" t="s">
        <v>532</v>
      </c>
      <c r="G251" s="11" t="str">
        <f t="shared" si="3"/>
        <v>positive</v>
      </c>
    </row>
    <row r="252" spans="1:7" x14ac:dyDescent="0.45">
      <c r="A252" t="s">
        <v>533</v>
      </c>
      <c r="B252" t="s">
        <v>74</v>
      </c>
      <c r="C252" s="7">
        <v>5</v>
      </c>
      <c r="D252" t="s">
        <v>534</v>
      </c>
      <c r="G252" s="11" t="str">
        <f t="shared" si="3"/>
        <v>positive</v>
      </c>
    </row>
    <row r="253" spans="1:7" x14ac:dyDescent="0.45">
      <c r="A253" t="s">
        <v>535</v>
      </c>
      <c r="B253" t="s">
        <v>7</v>
      </c>
      <c r="C253" s="7">
        <v>5</v>
      </c>
      <c r="D253" t="s">
        <v>536</v>
      </c>
      <c r="G253" s="11" t="str">
        <f t="shared" si="3"/>
        <v>positive</v>
      </c>
    </row>
    <row r="254" spans="1:7" x14ac:dyDescent="0.45">
      <c r="A254" t="s">
        <v>537</v>
      </c>
      <c r="B254" t="s">
        <v>74</v>
      </c>
      <c r="C254" s="7">
        <v>5</v>
      </c>
      <c r="D254" t="s">
        <v>538</v>
      </c>
      <c r="G254" s="11" t="str">
        <f t="shared" si="3"/>
        <v>positive</v>
      </c>
    </row>
    <row r="255" spans="1:7" x14ac:dyDescent="0.45">
      <c r="A255" t="s">
        <v>539</v>
      </c>
      <c r="B255" t="s">
        <v>62</v>
      </c>
      <c r="C255" s="7">
        <v>5</v>
      </c>
      <c r="D255" t="s">
        <v>540</v>
      </c>
      <c r="G255" s="11" t="str">
        <f t="shared" si="3"/>
        <v>positive</v>
      </c>
    </row>
    <row r="256" spans="1:7" x14ac:dyDescent="0.45">
      <c r="A256" t="s">
        <v>541</v>
      </c>
      <c r="B256" t="s">
        <v>62</v>
      </c>
      <c r="C256" s="7">
        <v>5</v>
      </c>
      <c r="D256" t="s">
        <v>542</v>
      </c>
      <c r="G256" s="11" t="str">
        <f t="shared" si="3"/>
        <v>positive</v>
      </c>
    </row>
    <row r="257" spans="1:7" x14ac:dyDescent="0.45">
      <c r="A257" t="s">
        <v>543</v>
      </c>
      <c r="B257" t="s">
        <v>62</v>
      </c>
      <c r="C257" s="7">
        <v>5</v>
      </c>
      <c r="D257" t="s">
        <v>544</v>
      </c>
      <c r="G257" s="11" t="str">
        <f t="shared" si="3"/>
        <v>positive</v>
      </c>
    </row>
    <row r="258" spans="1:7" x14ac:dyDescent="0.45">
      <c r="A258" t="s">
        <v>545</v>
      </c>
      <c r="B258" t="s">
        <v>23</v>
      </c>
      <c r="C258" s="7">
        <v>5</v>
      </c>
      <c r="D258" t="s">
        <v>546</v>
      </c>
      <c r="G258" s="11" t="str">
        <f t="shared" si="3"/>
        <v>positive</v>
      </c>
    </row>
    <row r="259" spans="1:7" x14ac:dyDescent="0.45">
      <c r="A259" t="s">
        <v>547</v>
      </c>
      <c r="B259" t="s">
        <v>62</v>
      </c>
      <c r="C259" s="7">
        <v>5</v>
      </c>
      <c r="D259" t="s">
        <v>548</v>
      </c>
      <c r="G259" s="11" t="str">
        <f t="shared" ref="G259:G322" si="4">IF(C259&gt;=4,"positive", IF(C259&gt;=3,"neutral","negative"))</f>
        <v>positive</v>
      </c>
    </row>
    <row r="260" spans="1:7" x14ac:dyDescent="0.45">
      <c r="A260" t="s">
        <v>549</v>
      </c>
      <c r="B260" t="s">
        <v>23</v>
      </c>
      <c r="C260" s="7">
        <v>5</v>
      </c>
      <c r="D260" t="s">
        <v>550</v>
      </c>
      <c r="G260" s="11" t="str">
        <f t="shared" si="4"/>
        <v>positive</v>
      </c>
    </row>
    <row r="261" spans="1:7" x14ac:dyDescent="0.45">
      <c r="A261" t="s">
        <v>551</v>
      </c>
      <c r="B261" t="s">
        <v>7</v>
      </c>
      <c r="C261" s="7">
        <v>5</v>
      </c>
      <c r="D261" t="s">
        <v>552</v>
      </c>
      <c r="G261" s="11" t="str">
        <f t="shared" si="4"/>
        <v>positive</v>
      </c>
    </row>
    <row r="262" spans="1:7" x14ac:dyDescent="0.45">
      <c r="A262" t="s">
        <v>553</v>
      </c>
      <c r="B262" t="s">
        <v>74</v>
      </c>
      <c r="C262" s="7">
        <v>5</v>
      </c>
      <c r="D262" t="s">
        <v>554</v>
      </c>
      <c r="G262" s="11" t="str">
        <f t="shared" si="4"/>
        <v>positive</v>
      </c>
    </row>
    <row r="263" spans="1:7" x14ac:dyDescent="0.45">
      <c r="A263" t="s">
        <v>555</v>
      </c>
      <c r="B263" t="s">
        <v>129</v>
      </c>
      <c r="C263" s="7">
        <v>4</v>
      </c>
      <c r="D263" t="s">
        <v>556</v>
      </c>
      <c r="G263" s="11" t="str">
        <f t="shared" si="4"/>
        <v>positive</v>
      </c>
    </row>
    <row r="264" spans="1:7" x14ac:dyDescent="0.45">
      <c r="A264" t="s">
        <v>557</v>
      </c>
      <c r="B264" t="s">
        <v>31</v>
      </c>
      <c r="C264" s="7">
        <v>5</v>
      </c>
      <c r="D264" t="s">
        <v>558</v>
      </c>
      <c r="G264" s="11" t="str">
        <f t="shared" si="4"/>
        <v>positive</v>
      </c>
    </row>
    <row r="265" spans="1:7" x14ac:dyDescent="0.45">
      <c r="A265" t="s">
        <v>559</v>
      </c>
      <c r="B265" t="s">
        <v>23</v>
      </c>
      <c r="C265" s="7">
        <v>5</v>
      </c>
      <c r="D265" t="s">
        <v>560</v>
      </c>
      <c r="G265" s="11" t="str">
        <f t="shared" si="4"/>
        <v>positive</v>
      </c>
    </row>
    <row r="266" spans="1:7" x14ac:dyDescent="0.45">
      <c r="A266" t="s">
        <v>561</v>
      </c>
      <c r="B266" t="s">
        <v>62</v>
      </c>
      <c r="C266" s="7">
        <v>5</v>
      </c>
      <c r="D266" t="s">
        <v>562</v>
      </c>
      <c r="G266" s="11" t="str">
        <f t="shared" si="4"/>
        <v>positive</v>
      </c>
    </row>
    <row r="267" spans="1:7" x14ac:dyDescent="0.45">
      <c r="A267" t="s">
        <v>563</v>
      </c>
      <c r="B267" t="s">
        <v>74</v>
      </c>
      <c r="C267" s="7">
        <v>4</v>
      </c>
      <c r="D267" t="s">
        <v>564</v>
      </c>
      <c r="G267" s="11" t="str">
        <f t="shared" si="4"/>
        <v>positive</v>
      </c>
    </row>
    <row r="268" spans="1:7" x14ac:dyDescent="0.45">
      <c r="A268" t="s">
        <v>565</v>
      </c>
      <c r="B268" t="s">
        <v>129</v>
      </c>
      <c r="C268" s="7">
        <v>4</v>
      </c>
      <c r="D268" t="s">
        <v>566</v>
      </c>
      <c r="G268" s="11" t="str">
        <f t="shared" si="4"/>
        <v>positive</v>
      </c>
    </row>
    <row r="269" spans="1:7" x14ac:dyDescent="0.45">
      <c r="A269" t="s">
        <v>567</v>
      </c>
      <c r="B269" t="s">
        <v>62</v>
      </c>
      <c r="C269" s="7">
        <v>4</v>
      </c>
      <c r="D269" t="s">
        <v>568</v>
      </c>
      <c r="G269" s="11" t="str">
        <f t="shared" si="4"/>
        <v>positive</v>
      </c>
    </row>
    <row r="270" spans="1:7" x14ac:dyDescent="0.45">
      <c r="A270" t="s">
        <v>569</v>
      </c>
      <c r="B270" t="s">
        <v>31</v>
      </c>
      <c r="C270" s="7">
        <v>5</v>
      </c>
      <c r="D270" t="s">
        <v>570</v>
      </c>
      <c r="G270" s="11" t="str">
        <f t="shared" si="4"/>
        <v>positive</v>
      </c>
    </row>
    <row r="271" spans="1:7" x14ac:dyDescent="0.45">
      <c r="A271" t="s">
        <v>571</v>
      </c>
      <c r="B271" t="s">
        <v>74</v>
      </c>
      <c r="C271" s="7">
        <v>5</v>
      </c>
      <c r="D271" t="s">
        <v>572</v>
      </c>
      <c r="G271" s="11" t="str">
        <f t="shared" si="4"/>
        <v>positive</v>
      </c>
    </row>
    <row r="272" spans="1:7" x14ac:dyDescent="0.45">
      <c r="A272" t="s">
        <v>573</v>
      </c>
      <c r="B272" t="s">
        <v>62</v>
      </c>
      <c r="C272" s="7">
        <v>5</v>
      </c>
      <c r="D272" t="s">
        <v>574</v>
      </c>
      <c r="G272" s="11" t="str">
        <f t="shared" si="4"/>
        <v>positive</v>
      </c>
    </row>
    <row r="273" spans="1:7" x14ac:dyDescent="0.45">
      <c r="A273" t="s">
        <v>575</v>
      </c>
      <c r="B273" t="s">
        <v>23</v>
      </c>
      <c r="C273" s="7">
        <v>5</v>
      </c>
      <c r="D273" t="s">
        <v>576</v>
      </c>
      <c r="G273" s="11" t="str">
        <f t="shared" si="4"/>
        <v>positive</v>
      </c>
    </row>
    <row r="274" spans="1:7" x14ac:dyDescent="0.45">
      <c r="A274" t="s">
        <v>577</v>
      </c>
      <c r="B274" t="s">
        <v>138</v>
      </c>
      <c r="C274" s="7">
        <v>1</v>
      </c>
      <c r="D274" t="s">
        <v>578</v>
      </c>
      <c r="G274" s="11" t="str">
        <f t="shared" si="4"/>
        <v>negative</v>
      </c>
    </row>
    <row r="275" spans="1:7" x14ac:dyDescent="0.45">
      <c r="A275" t="s">
        <v>579</v>
      </c>
      <c r="B275" t="s">
        <v>62</v>
      </c>
      <c r="C275" s="7">
        <v>4</v>
      </c>
      <c r="D275" t="s">
        <v>580</v>
      </c>
      <c r="G275" s="11" t="str">
        <f t="shared" si="4"/>
        <v>positive</v>
      </c>
    </row>
    <row r="276" spans="1:7" x14ac:dyDescent="0.45">
      <c r="A276" t="s">
        <v>581</v>
      </c>
      <c r="B276" t="s">
        <v>26</v>
      </c>
      <c r="C276" s="7">
        <v>5</v>
      </c>
      <c r="D276" t="s">
        <v>582</v>
      </c>
      <c r="G276" s="11" t="str">
        <f t="shared" si="4"/>
        <v>positive</v>
      </c>
    </row>
    <row r="277" spans="1:7" x14ac:dyDescent="0.45">
      <c r="A277" t="s">
        <v>583</v>
      </c>
      <c r="B277" t="s">
        <v>62</v>
      </c>
      <c r="C277" s="7">
        <v>5</v>
      </c>
      <c r="D277" t="s">
        <v>584</v>
      </c>
      <c r="G277" s="11" t="str">
        <f t="shared" si="4"/>
        <v>positive</v>
      </c>
    </row>
    <row r="278" spans="1:7" x14ac:dyDescent="0.45">
      <c r="A278" t="s">
        <v>585</v>
      </c>
      <c r="B278" t="s">
        <v>26</v>
      </c>
      <c r="C278" s="7">
        <v>5</v>
      </c>
      <c r="D278" t="s">
        <v>586</v>
      </c>
      <c r="G278" s="11" t="str">
        <f t="shared" si="4"/>
        <v>positive</v>
      </c>
    </row>
    <row r="279" spans="1:7" x14ac:dyDescent="0.45">
      <c r="A279" t="s">
        <v>587</v>
      </c>
      <c r="B279" t="s">
        <v>31</v>
      </c>
      <c r="C279" s="7">
        <v>5</v>
      </c>
      <c r="D279" t="s">
        <v>588</v>
      </c>
      <c r="G279" s="11" t="str">
        <f t="shared" si="4"/>
        <v>positive</v>
      </c>
    </row>
    <row r="280" spans="1:7" x14ac:dyDescent="0.45">
      <c r="A280" t="s">
        <v>589</v>
      </c>
      <c r="B280" t="s">
        <v>26</v>
      </c>
      <c r="C280" s="7">
        <v>5</v>
      </c>
      <c r="D280" t="s">
        <v>590</v>
      </c>
      <c r="G280" s="11" t="str">
        <f t="shared" si="4"/>
        <v>positive</v>
      </c>
    </row>
    <row r="281" spans="1:7" x14ac:dyDescent="0.45">
      <c r="A281" t="s">
        <v>591</v>
      </c>
      <c r="B281" t="s">
        <v>23</v>
      </c>
      <c r="C281" s="7">
        <v>5</v>
      </c>
      <c r="D281" t="s">
        <v>592</v>
      </c>
      <c r="G281" s="11" t="str">
        <f t="shared" si="4"/>
        <v>positive</v>
      </c>
    </row>
    <row r="282" spans="1:7" x14ac:dyDescent="0.45">
      <c r="A282" t="s">
        <v>593</v>
      </c>
      <c r="B282" t="s">
        <v>74</v>
      </c>
      <c r="C282" s="7">
        <v>4</v>
      </c>
      <c r="D282" t="s">
        <v>594</v>
      </c>
      <c r="G282" s="11" t="str">
        <f t="shared" si="4"/>
        <v>positive</v>
      </c>
    </row>
    <row r="283" spans="1:7" x14ac:dyDescent="0.45">
      <c r="A283" t="s">
        <v>595</v>
      </c>
      <c r="B283" t="s">
        <v>23</v>
      </c>
      <c r="C283" s="7">
        <v>5</v>
      </c>
      <c r="D283" t="s">
        <v>596</v>
      </c>
      <c r="G283" s="11" t="str">
        <f t="shared" si="4"/>
        <v>positive</v>
      </c>
    </row>
    <row r="284" spans="1:7" x14ac:dyDescent="0.45">
      <c r="A284" t="s">
        <v>597</v>
      </c>
      <c r="B284" t="s">
        <v>23</v>
      </c>
      <c r="C284" s="7">
        <v>5</v>
      </c>
      <c r="D284" t="s">
        <v>598</v>
      </c>
      <c r="G284" s="11" t="str">
        <f t="shared" si="4"/>
        <v>positive</v>
      </c>
    </row>
    <row r="285" spans="1:7" x14ac:dyDescent="0.45">
      <c r="A285" t="s">
        <v>599</v>
      </c>
      <c r="B285" t="s">
        <v>31</v>
      </c>
      <c r="C285" s="7">
        <v>5</v>
      </c>
      <c r="D285" t="s">
        <v>600</v>
      </c>
      <c r="G285" s="11" t="str">
        <f t="shared" si="4"/>
        <v>positive</v>
      </c>
    </row>
    <row r="286" spans="1:7" x14ac:dyDescent="0.45">
      <c r="A286" t="s">
        <v>601</v>
      </c>
      <c r="B286" t="s">
        <v>23</v>
      </c>
      <c r="C286" s="7">
        <v>5</v>
      </c>
      <c r="D286" t="s">
        <v>602</v>
      </c>
      <c r="G286" s="11" t="str">
        <f t="shared" si="4"/>
        <v>positive</v>
      </c>
    </row>
    <row r="287" spans="1:7" x14ac:dyDescent="0.45">
      <c r="A287" t="s">
        <v>603</v>
      </c>
      <c r="B287" t="s">
        <v>26</v>
      </c>
      <c r="C287" s="7">
        <v>4</v>
      </c>
      <c r="D287" t="s">
        <v>604</v>
      </c>
      <c r="G287" s="11" t="str">
        <f t="shared" si="4"/>
        <v>positive</v>
      </c>
    </row>
    <row r="288" spans="1:7" x14ac:dyDescent="0.45">
      <c r="A288" t="s">
        <v>605</v>
      </c>
      <c r="B288" t="s">
        <v>74</v>
      </c>
      <c r="C288" s="7">
        <v>4</v>
      </c>
      <c r="D288" t="s">
        <v>606</v>
      </c>
      <c r="G288" s="11" t="str">
        <f t="shared" si="4"/>
        <v>positive</v>
      </c>
    </row>
    <row r="289" spans="1:7" x14ac:dyDescent="0.45">
      <c r="A289" t="s">
        <v>607</v>
      </c>
      <c r="B289" t="s">
        <v>23</v>
      </c>
      <c r="C289" s="7">
        <v>3</v>
      </c>
      <c r="D289" t="s">
        <v>608</v>
      </c>
      <c r="G289" s="11" t="str">
        <f t="shared" si="4"/>
        <v>neutral</v>
      </c>
    </row>
    <row r="290" spans="1:7" x14ac:dyDescent="0.45">
      <c r="A290" t="s">
        <v>609</v>
      </c>
      <c r="B290" t="s">
        <v>23</v>
      </c>
      <c r="C290" s="7">
        <v>5</v>
      </c>
      <c r="D290" t="s">
        <v>610</v>
      </c>
      <c r="G290" s="11" t="str">
        <f t="shared" si="4"/>
        <v>positive</v>
      </c>
    </row>
    <row r="291" spans="1:7" x14ac:dyDescent="0.45">
      <c r="A291" t="s">
        <v>611</v>
      </c>
      <c r="B291" t="s">
        <v>143</v>
      </c>
      <c r="C291" s="7">
        <v>5</v>
      </c>
      <c r="D291" t="s">
        <v>612</v>
      </c>
      <c r="G291" s="11" t="str">
        <f t="shared" si="4"/>
        <v>positive</v>
      </c>
    </row>
    <row r="292" spans="1:7" x14ac:dyDescent="0.45">
      <c r="A292" t="s">
        <v>613</v>
      </c>
      <c r="B292" t="s">
        <v>26</v>
      </c>
      <c r="C292" s="7">
        <v>5</v>
      </c>
      <c r="D292" t="s">
        <v>614</v>
      </c>
      <c r="G292" s="11" t="str">
        <f t="shared" si="4"/>
        <v>positive</v>
      </c>
    </row>
    <row r="293" spans="1:7" x14ac:dyDescent="0.45">
      <c r="A293" t="s">
        <v>615</v>
      </c>
      <c r="B293" t="s">
        <v>26</v>
      </c>
      <c r="C293" s="7">
        <v>5</v>
      </c>
      <c r="D293" t="s">
        <v>616</v>
      </c>
      <c r="G293" s="11" t="str">
        <f t="shared" si="4"/>
        <v>positive</v>
      </c>
    </row>
    <row r="294" spans="1:7" x14ac:dyDescent="0.45">
      <c r="A294" t="s">
        <v>617</v>
      </c>
      <c r="B294" t="s">
        <v>23</v>
      </c>
      <c r="C294" s="7">
        <v>4</v>
      </c>
      <c r="D294" t="s">
        <v>618</v>
      </c>
      <c r="G294" s="11" t="str">
        <f t="shared" si="4"/>
        <v>positive</v>
      </c>
    </row>
    <row r="295" spans="1:7" x14ac:dyDescent="0.45">
      <c r="A295" t="s">
        <v>619</v>
      </c>
      <c r="B295" t="s">
        <v>23</v>
      </c>
      <c r="C295" s="7">
        <v>4</v>
      </c>
      <c r="D295" t="s">
        <v>620</v>
      </c>
      <c r="G295" s="11" t="str">
        <f t="shared" si="4"/>
        <v>positive</v>
      </c>
    </row>
    <row r="296" spans="1:7" x14ac:dyDescent="0.45">
      <c r="A296" t="s">
        <v>621</v>
      </c>
      <c r="B296" t="s">
        <v>26</v>
      </c>
      <c r="C296" s="7">
        <v>4</v>
      </c>
      <c r="D296" t="s">
        <v>622</v>
      </c>
      <c r="G296" s="11" t="str">
        <f t="shared" si="4"/>
        <v>positive</v>
      </c>
    </row>
    <row r="297" spans="1:7" x14ac:dyDescent="0.45">
      <c r="A297" t="s">
        <v>623</v>
      </c>
      <c r="B297" t="s">
        <v>23</v>
      </c>
      <c r="C297" s="7">
        <v>5</v>
      </c>
      <c r="D297" t="s">
        <v>624</v>
      </c>
      <c r="G297" s="11" t="str">
        <f t="shared" si="4"/>
        <v>positive</v>
      </c>
    </row>
    <row r="298" spans="1:7" x14ac:dyDescent="0.45">
      <c r="A298" t="s">
        <v>625</v>
      </c>
      <c r="B298" t="s">
        <v>74</v>
      </c>
      <c r="C298" s="7">
        <v>5</v>
      </c>
      <c r="D298" t="s">
        <v>626</v>
      </c>
      <c r="G298" s="11" t="str">
        <f t="shared" si="4"/>
        <v>positive</v>
      </c>
    </row>
    <row r="299" spans="1:7" x14ac:dyDescent="0.45">
      <c r="A299" t="s">
        <v>627</v>
      </c>
      <c r="B299" t="s">
        <v>62</v>
      </c>
      <c r="C299" s="7">
        <v>5</v>
      </c>
      <c r="D299" t="s">
        <v>628</v>
      </c>
      <c r="G299" s="11" t="str">
        <f t="shared" si="4"/>
        <v>positive</v>
      </c>
    </row>
    <row r="300" spans="1:7" x14ac:dyDescent="0.45">
      <c r="A300" t="s">
        <v>629</v>
      </c>
      <c r="B300" t="s">
        <v>26</v>
      </c>
      <c r="C300" s="7">
        <v>5</v>
      </c>
      <c r="D300" t="s">
        <v>630</v>
      </c>
      <c r="G300" s="11" t="str">
        <f t="shared" si="4"/>
        <v>positive</v>
      </c>
    </row>
    <row r="301" spans="1:7" x14ac:dyDescent="0.45">
      <c r="A301" t="s">
        <v>631</v>
      </c>
      <c r="B301" t="s">
        <v>62</v>
      </c>
      <c r="C301" s="7">
        <v>5</v>
      </c>
      <c r="D301" t="s">
        <v>632</v>
      </c>
      <c r="G301" s="11" t="str">
        <f t="shared" si="4"/>
        <v>positive</v>
      </c>
    </row>
    <row r="302" spans="1:7" x14ac:dyDescent="0.45">
      <c r="A302" t="s">
        <v>633</v>
      </c>
      <c r="B302" t="s">
        <v>23</v>
      </c>
      <c r="C302" s="7">
        <v>5</v>
      </c>
      <c r="D302" t="s">
        <v>634</v>
      </c>
      <c r="G302" s="11" t="str">
        <f t="shared" si="4"/>
        <v>positive</v>
      </c>
    </row>
    <row r="303" spans="1:7" x14ac:dyDescent="0.45">
      <c r="A303" t="s">
        <v>635</v>
      </c>
      <c r="B303" t="s">
        <v>23</v>
      </c>
      <c r="C303" s="7">
        <v>5</v>
      </c>
      <c r="D303" t="s">
        <v>636</v>
      </c>
      <c r="G303" s="11" t="str">
        <f t="shared" si="4"/>
        <v>positive</v>
      </c>
    </row>
    <row r="304" spans="1:7" x14ac:dyDescent="0.45">
      <c r="A304" t="s">
        <v>637</v>
      </c>
      <c r="B304" t="s">
        <v>62</v>
      </c>
      <c r="C304" s="7">
        <v>5</v>
      </c>
      <c r="D304" t="s">
        <v>638</v>
      </c>
      <c r="G304" s="11" t="str">
        <f t="shared" si="4"/>
        <v>positive</v>
      </c>
    </row>
    <row r="305" spans="1:7" x14ac:dyDescent="0.45">
      <c r="A305" t="s">
        <v>639</v>
      </c>
      <c r="B305" t="s">
        <v>23</v>
      </c>
      <c r="C305" s="7">
        <v>5</v>
      </c>
      <c r="D305" t="s">
        <v>640</v>
      </c>
      <c r="G305" s="11" t="str">
        <f t="shared" si="4"/>
        <v>positive</v>
      </c>
    </row>
    <row r="306" spans="1:7" x14ac:dyDescent="0.45">
      <c r="A306" t="s">
        <v>641</v>
      </c>
      <c r="B306" t="s">
        <v>62</v>
      </c>
      <c r="C306" s="7">
        <v>5</v>
      </c>
      <c r="D306" t="s">
        <v>642</v>
      </c>
      <c r="G306" s="11" t="str">
        <f t="shared" si="4"/>
        <v>positive</v>
      </c>
    </row>
    <row r="307" spans="1:7" x14ac:dyDescent="0.45">
      <c r="A307" t="s">
        <v>643</v>
      </c>
      <c r="B307" t="s">
        <v>26</v>
      </c>
      <c r="C307" s="7">
        <v>5</v>
      </c>
      <c r="D307" t="s">
        <v>644</v>
      </c>
      <c r="G307" s="11" t="str">
        <f t="shared" si="4"/>
        <v>positive</v>
      </c>
    </row>
    <row r="308" spans="1:7" x14ac:dyDescent="0.45">
      <c r="A308" t="s">
        <v>645</v>
      </c>
      <c r="B308" t="s">
        <v>26</v>
      </c>
      <c r="C308" s="7">
        <v>5</v>
      </c>
      <c r="D308" t="s">
        <v>646</v>
      </c>
      <c r="G308" s="11" t="str">
        <f t="shared" si="4"/>
        <v>positive</v>
      </c>
    </row>
    <row r="309" spans="1:7" x14ac:dyDescent="0.45">
      <c r="A309" t="s">
        <v>647</v>
      </c>
      <c r="B309" t="s">
        <v>23</v>
      </c>
      <c r="C309" s="7">
        <v>5</v>
      </c>
      <c r="D309" t="s">
        <v>648</v>
      </c>
      <c r="G309" s="11" t="str">
        <f t="shared" si="4"/>
        <v>positive</v>
      </c>
    </row>
    <row r="310" spans="1:7" x14ac:dyDescent="0.45">
      <c r="A310" t="s">
        <v>649</v>
      </c>
      <c r="B310" t="s">
        <v>62</v>
      </c>
      <c r="C310" s="7">
        <v>5</v>
      </c>
      <c r="D310" t="s">
        <v>650</v>
      </c>
      <c r="G310" s="11" t="str">
        <f t="shared" si="4"/>
        <v>positive</v>
      </c>
    </row>
    <row r="311" spans="1:7" x14ac:dyDescent="0.45">
      <c r="A311" t="s">
        <v>651</v>
      </c>
      <c r="B311" t="s">
        <v>62</v>
      </c>
      <c r="C311" s="7">
        <v>5</v>
      </c>
      <c r="D311" t="s">
        <v>652</v>
      </c>
      <c r="G311" s="11" t="str">
        <f t="shared" si="4"/>
        <v>positive</v>
      </c>
    </row>
    <row r="312" spans="1:7" x14ac:dyDescent="0.45">
      <c r="A312" t="s">
        <v>653</v>
      </c>
      <c r="B312" t="s">
        <v>62</v>
      </c>
      <c r="C312" s="7">
        <v>5</v>
      </c>
      <c r="D312" t="s">
        <v>654</v>
      </c>
      <c r="G312" s="11" t="str">
        <f t="shared" si="4"/>
        <v>positive</v>
      </c>
    </row>
    <row r="313" spans="1:7" x14ac:dyDescent="0.45">
      <c r="A313" t="s">
        <v>655</v>
      </c>
      <c r="B313" t="s">
        <v>62</v>
      </c>
      <c r="C313" s="7">
        <v>5</v>
      </c>
      <c r="D313" t="s">
        <v>570</v>
      </c>
      <c r="G313" s="11" t="str">
        <f t="shared" si="4"/>
        <v>positive</v>
      </c>
    </row>
    <row r="314" spans="1:7" x14ac:dyDescent="0.45">
      <c r="A314" t="s">
        <v>656</v>
      </c>
      <c r="B314" t="s">
        <v>23</v>
      </c>
      <c r="C314" s="7">
        <v>5</v>
      </c>
      <c r="D314" t="s">
        <v>657</v>
      </c>
      <c r="G314" s="11" t="str">
        <f t="shared" si="4"/>
        <v>positive</v>
      </c>
    </row>
    <row r="315" spans="1:7" x14ac:dyDescent="0.45">
      <c r="A315" t="s">
        <v>658</v>
      </c>
      <c r="B315" t="s">
        <v>23</v>
      </c>
      <c r="C315" s="7">
        <v>3</v>
      </c>
      <c r="D315" t="s">
        <v>659</v>
      </c>
      <c r="G315" s="11" t="str">
        <f t="shared" si="4"/>
        <v>neutral</v>
      </c>
    </row>
    <row r="316" spans="1:7" x14ac:dyDescent="0.45">
      <c r="A316" t="s">
        <v>660</v>
      </c>
      <c r="B316" t="s">
        <v>26</v>
      </c>
      <c r="C316" s="7">
        <v>5</v>
      </c>
      <c r="D316" t="s">
        <v>661</v>
      </c>
      <c r="G316" s="11" t="str">
        <f t="shared" si="4"/>
        <v>positive</v>
      </c>
    </row>
    <row r="317" spans="1:7" x14ac:dyDescent="0.45">
      <c r="A317" t="s">
        <v>662</v>
      </c>
      <c r="B317" t="s">
        <v>62</v>
      </c>
      <c r="C317" s="7">
        <v>4</v>
      </c>
      <c r="D317" t="s">
        <v>663</v>
      </c>
      <c r="G317" s="11" t="str">
        <f t="shared" si="4"/>
        <v>positive</v>
      </c>
    </row>
    <row r="318" spans="1:7" x14ac:dyDescent="0.45">
      <c r="A318" t="s">
        <v>664</v>
      </c>
      <c r="B318" t="s">
        <v>23</v>
      </c>
      <c r="C318" s="7">
        <v>4</v>
      </c>
      <c r="D318" t="s">
        <v>665</v>
      </c>
      <c r="G318" s="11" t="str">
        <f t="shared" si="4"/>
        <v>positive</v>
      </c>
    </row>
    <row r="319" spans="1:7" x14ac:dyDescent="0.45">
      <c r="A319" t="s">
        <v>666</v>
      </c>
      <c r="B319" t="s">
        <v>667</v>
      </c>
      <c r="C319" s="7">
        <v>5</v>
      </c>
      <c r="D319" t="s">
        <v>668</v>
      </c>
      <c r="G319" s="11" t="str">
        <f t="shared" si="4"/>
        <v>positive</v>
      </c>
    </row>
    <row r="320" spans="1:7" x14ac:dyDescent="0.45">
      <c r="A320" t="s">
        <v>669</v>
      </c>
      <c r="B320" t="s">
        <v>62</v>
      </c>
      <c r="C320" s="7">
        <v>5</v>
      </c>
      <c r="D320" t="s">
        <v>670</v>
      </c>
      <c r="G320" s="11" t="str">
        <f t="shared" si="4"/>
        <v>positive</v>
      </c>
    </row>
    <row r="321" spans="1:7" x14ac:dyDescent="0.45">
      <c r="A321" t="s">
        <v>671</v>
      </c>
      <c r="B321" t="s">
        <v>74</v>
      </c>
      <c r="C321" s="7">
        <v>5</v>
      </c>
      <c r="D321" t="s">
        <v>672</v>
      </c>
      <c r="G321" s="11" t="str">
        <f t="shared" si="4"/>
        <v>positive</v>
      </c>
    </row>
    <row r="322" spans="1:7" x14ac:dyDescent="0.45">
      <c r="A322" t="s">
        <v>673</v>
      </c>
      <c r="B322" t="s">
        <v>62</v>
      </c>
      <c r="C322" s="7">
        <v>5</v>
      </c>
      <c r="D322" t="s">
        <v>674</v>
      </c>
      <c r="G322" s="11" t="str">
        <f t="shared" si="4"/>
        <v>positive</v>
      </c>
    </row>
    <row r="323" spans="1:7" x14ac:dyDescent="0.45">
      <c r="A323" t="s">
        <v>675</v>
      </c>
      <c r="B323" t="s">
        <v>62</v>
      </c>
      <c r="C323" s="7">
        <v>4</v>
      </c>
      <c r="D323" t="s">
        <v>676</v>
      </c>
      <c r="G323" s="11" t="str">
        <f t="shared" ref="G323:G386" si="5">IF(C323&gt;=4,"positive", IF(C323&gt;=3,"neutral","negative"))</f>
        <v>positive</v>
      </c>
    </row>
    <row r="324" spans="1:7" x14ac:dyDescent="0.45">
      <c r="A324" t="s">
        <v>677</v>
      </c>
      <c r="B324" t="s">
        <v>62</v>
      </c>
      <c r="C324" s="7">
        <v>5</v>
      </c>
      <c r="D324" t="s">
        <v>678</v>
      </c>
      <c r="G324" s="11" t="str">
        <f t="shared" si="5"/>
        <v>positive</v>
      </c>
    </row>
    <row r="325" spans="1:7" x14ac:dyDescent="0.45">
      <c r="A325" t="s">
        <v>679</v>
      </c>
      <c r="B325" t="s">
        <v>23</v>
      </c>
      <c r="C325" s="7">
        <v>5</v>
      </c>
      <c r="D325" t="s">
        <v>680</v>
      </c>
      <c r="G325" s="11" t="str">
        <f t="shared" si="5"/>
        <v>positive</v>
      </c>
    </row>
    <row r="326" spans="1:7" x14ac:dyDescent="0.45">
      <c r="A326" t="s">
        <v>681</v>
      </c>
      <c r="B326" t="s">
        <v>74</v>
      </c>
      <c r="C326" s="7">
        <v>5</v>
      </c>
      <c r="D326" t="s">
        <v>682</v>
      </c>
      <c r="G326" s="11" t="str">
        <f t="shared" si="5"/>
        <v>positive</v>
      </c>
    </row>
    <row r="327" spans="1:7" x14ac:dyDescent="0.45">
      <c r="A327" t="s">
        <v>683</v>
      </c>
      <c r="B327" t="s">
        <v>62</v>
      </c>
      <c r="C327" s="7">
        <v>5</v>
      </c>
      <c r="D327" t="s">
        <v>684</v>
      </c>
      <c r="G327" s="11" t="str">
        <f t="shared" si="5"/>
        <v>positive</v>
      </c>
    </row>
    <row r="328" spans="1:7" x14ac:dyDescent="0.45">
      <c r="A328" t="s">
        <v>685</v>
      </c>
      <c r="B328" t="s">
        <v>62</v>
      </c>
      <c r="C328" s="7">
        <v>5</v>
      </c>
      <c r="D328" t="s">
        <v>686</v>
      </c>
      <c r="G328" s="11" t="str">
        <f t="shared" si="5"/>
        <v>positive</v>
      </c>
    </row>
    <row r="329" spans="1:7" x14ac:dyDescent="0.45">
      <c r="A329" t="s">
        <v>687</v>
      </c>
      <c r="B329" t="s">
        <v>23</v>
      </c>
      <c r="C329" s="7">
        <v>5</v>
      </c>
      <c r="D329" t="s">
        <v>688</v>
      </c>
      <c r="G329" s="11" t="str">
        <f t="shared" si="5"/>
        <v>positive</v>
      </c>
    </row>
    <row r="330" spans="1:7" x14ac:dyDescent="0.45">
      <c r="A330" t="s">
        <v>689</v>
      </c>
      <c r="B330" t="s">
        <v>31</v>
      </c>
      <c r="C330" s="7">
        <v>5</v>
      </c>
      <c r="D330" t="s">
        <v>644</v>
      </c>
      <c r="G330" s="11" t="str">
        <f t="shared" si="5"/>
        <v>positive</v>
      </c>
    </row>
    <row r="331" spans="1:7" x14ac:dyDescent="0.45">
      <c r="A331" t="s">
        <v>690</v>
      </c>
      <c r="B331" t="s">
        <v>26</v>
      </c>
      <c r="C331" s="7">
        <v>5</v>
      </c>
      <c r="D331" t="s">
        <v>691</v>
      </c>
      <c r="G331" s="11" t="str">
        <f t="shared" si="5"/>
        <v>positive</v>
      </c>
    </row>
    <row r="332" spans="1:7" x14ac:dyDescent="0.45">
      <c r="A332" t="s">
        <v>692</v>
      </c>
      <c r="B332" t="s">
        <v>74</v>
      </c>
      <c r="C332" s="7">
        <v>5</v>
      </c>
      <c r="D332" t="s">
        <v>570</v>
      </c>
      <c r="G332" s="11" t="str">
        <f t="shared" si="5"/>
        <v>positive</v>
      </c>
    </row>
    <row r="333" spans="1:7" x14ac:dyDescent="0.45">
      <c r="A333" t="s">
        <v>693</v>
      </c>
      <c r="B333" t="s">
        <v>23</v>
      </c>
      <c r="C333" s="7">
        <v>4</v>
      </c>
      <c r="D333" t="s">
        <v>694</v>
      </c>
      <c r="G333" s="11" t="str">
        <f t="shared" si="5"/>
        <v>positive</v>
      </c>
    </row>
    <row r="334" spans="1:7" x14ac:dyDescent="0.45">
      <c r="A334" t="s">
        <v>695</v>
      </c>
      <c r="B334" t="s">
        <v>23</v>
      </c>
      <c r="C334" s="7">
        <v>4</v>
      </c>
      <c r="D334" t="s">
        <v>696</v>
      </c>
      <c r="G334" s="11" t="str">
        <f t="shared" si="5"/>
        <v>positive</v>
      </c>
    </row>
    <row r="335" spans="1:7" x14ac:dyDescent="0.45">
      <c r="A335" t="s">
        <v>697</v>
      </c>
      <c r="B335" t="s">
        <v>23</v>
      </c>
      <c r="C335" s="7">
        <v>5</v>
      </c>
      <c r="D335" t="s">
        <v>698</v>
      </c>
      <c r="G335" s="11" t="str">
        <f t="shared" si="5"/>
        <v>positive</v>
      </c>
    </row>
    <row r="336" spans="1:7" x14ac:dyDescent="0.45">
      <c r="A336" t="s">
        <v>699</v>
      </c>
      <c r="B336" t="s">
        <v>7</v>
      </c>
      <c r="C336" s="7">
        <v>5</v>
      </c>
      <c r="D336" t="s">
        <v>700</v>
      </c>
      <c r="G336" s="11" t="str">
        <f t="shared" si="5"/>
        <v>positive</v>
      </c>
    </row>
    <row r="337" spans="1:7" x14ac:dyDescent="0.45">
      <c r="A337" t="s">
        <v>701</v>
      </c>
      <c r="B337" t="s">
        <v>23</v>
      </c>
      <c r="C337" s="7">
        <v>5</v>
      </c>
      <c r="D337" t="s">
        <v>702</v>
      </c>
      <c r="G337" s="11" t="str">
        <f t="shared" si="5"/>
        <v>positive</v>
      </c>
    </row>
    <row r="338" spans="1:7" x14ac:dyDescent="0.45">
      <c r="A338" t="s">
        <v>703</v>
      </c>
      <c r="B338" t="s">
        <v>23</v>
      </c>
      <c r="C338" s="7">
        <v>5</v>
      </c>
      <c r="D338" t="s">
        <v>704</v>
      </c>
      <c r="G338" s="11" t="str">
        <f t="shared" si="5"/>
        <v>positive</v>
      </c>
    </row>
    <row r="339" spans="1:7" x14ac:dyDescent="0.45">
      <c r="A339" t="s">
        <v>705</v>
      </c>
      <c r="B339" t="s">
        <v>23</v>
      </c>
      <c r="C339" s="7">
        <v>5</v>
      </c>
      <c r="D339" t="s">
        <v>706</v>
      </c>
      <c r="G339" s="11" t="str">
        <f t="shared" si="5"/>
        <v>positive</v>
      </c>
    </row>
    <row r="340" spans="1:7" x14ac:dyDescent="0.45">
      <c r="A340" t="s">
        <v>707</v>
      </c>
      <c r="B340" t="s">
        <v>26</v>
      </c>
      <c r="C340" s="7">
        <v>4</v>
      </c>
      <c r="D340" t="s">
        <v>222</v>
      </c>
      <c r="G340" s="11" t="str">
        <f t="shared" si="5"/>
        <v>positive</v>
      </c>
    </row>
    <row r="341" spans="1:7" x14ac:dyDescent="0.45">
      <c r="A341" t="s">
        <v>708</v>
      </c>
      <c r="B341" t="s">
        <v>23</v>
      </c>
      <c r="C341" s="7">
        <v>5</v>
      </c>
      <c r="D341" t="s">
        <v>709</v>
      </c>
      <c r="G341" s="11" t="str">
        <f t="shared" si="5"/>
        <v>positive</v>
      </c>
    </row>
    <row r="342" spans="1:7" x14ac:dyDescent="0.45">
      <c r="A342" t="s">
        <v>710</v>
      </c>
      <c r="B342" t="s">
        <v>23</v>
      </c>
      <c r="C342" s="7">
        <v>5</v>
      </c>
      <c r="D342" t="s">
        <v>711</v>
      </c>
      <c r="G342" s="11" t="str">
        <f t="shared" si="5"/>
        <v>positive</v>
      </c>
    </row>
    <row r="343" spans="1:7" x14ac:dyDescent="0.45">
      <c r="A343" t="s">
        <v>712</v>
      </c>
      <c r="B343" t="s">
        <v>62</v>
      </c>
      <c r="C343" s="7">
        <v>5</v>
      </c>
      <c r="D343" t="s">
        <v>713</v>
      </c>
      <c r="G343" s="11" t="str">
        <f t="shared" si="5"/>
        <v>positive</v>
      </c>
    </row>
    <row r="344" spans="1:7" x14ac:dyDescent="0.45">
      <c r="A344" t="s">
        <v>714</v>
      </c>
      <c r="B344" t="s">
        <v>62</v>
      </c>
      <c r="C344" s="7">
        <v>5</v>
      </c>
      <c r="D344" t="s">
        <v>715</v>
      </c>
      <c r="G344" s="11" t="str">
        <f t="shared" si="5"/>
        <v>positive</v>
      </c>
    </row>
    <row r="345" spans="1:7" x14ac:dyDescent="0.45">
      <c r="A345" t="s">
        <v>716</v>
      </c>
      <c r="B345" t="s">
        <v>23</v>
      </c>
      <c r="C345" s="7">
        <v>5</v>
      </c>
      <c r="D345" t="s">
        <v>717</v>
      </c>
      <c r="G345" s="11" t="str">
        <f t="shared" si="5"/>
        <v>positive</v>
      </c>
    </row>
    <row r="346" spans="1:7" x14ac:dyDescent="0.45">
      <c r="A346" t="s">
        <v>718</v>
      </c>
      <c r="B346" t="s">
        <v>23</v>
      </c>
      <c r="C346" s="7">
        <v>3</v>
      </c>
      <c r="D346" t="s">
        <v>719</v>
      </c>
      <c r="G346" s="11" t="str">
        <f t="shared" si="5"/>
        <v>neutral</v>
      </c>
    </row>
    <row r="347" spans="1:7" x14ac:dyDescent="0.45">
      <c r="A347" t="s">
        <v>720</v>
      </c>
      <c r="B347" t="s">
        <v>26</v>
      </c>
      <c r="C347" s="7">
        <v>5</v>
      </c>
      <c r="D347" t="s">
        <v>721</v>
      </c>
      <c r="G347" s="11" t="str">
        <f t="shared" si="5"/>
        <v>positive</v>
      </c>
    </row>
    <row r="348" spans="1:7" x14ac:dyDescent="0.45">
      <c r="A348" t="s">
        <v>722</v>
      </c>
      <c r="B348" t="s">
        <v>62</v>
      </c>
      <c r="C348" s="7">
        <v>4</v>
      </c>
      <c r="D348" t="s">
        <v>723</v>
      </c>
      <c r="G348" s="11" t="str">
        <f t="shared" si="5"/>
        <v>positive</v>
      </c>
    </row>
    <row r="349" spans="1:7" x14ac:dyDescent="0.45">
      <c r="A349" t="s">
        <v>724</v>
      </c>
      <c r="B349" t="s">
        <v>31</v>
      </c>
      <c r="C349" s="7">
        <v>5</v>
      </c>
      <c r="D349" t="s">
        <v>725</v>
      </c>
      <c r="G349" s="11" t="str">
        <f t="shared" si="5"/>
        <v>positive</v>
      </c>
    </row>
    <row r="350" spans="1:7" x14ac:dyDescent="0.45">
      <c r="A350" t="s">
        <v>726</v>
      </c>
      <c r="B350" t="s">
        <v>62</v>
      </c>
      <c r="C350" s="7">
        <v>5</v>
      </c>
      <c r="D350" t="s">
        <v>727</v>
      </c>
      <c r="G350" s="11" t="str">
        <f t="shared" si="5"/>
        <v>positive</v>
      </c>
    </row>
    <row r="351" spans="1:7" x14ac:dyDescent="0.45">
      <c r="A351" t="s">
        <v>728</v>
      </c>
      <c r="B351" t="s">
        <v>23</v>
      </c>
      <c r="C351" s="7">
        <v>5</v>
      </c>
      <c r="D351" t="s">
        <v>729</v>
      </c>
      <c r="G351" s="11" t="str">
        <f t="shared" si="5"/>
        <v>positive</v>
      </c>
    </row>
    <row r="352" spans="1:7" x14ac:dyDescent="0.45">
      <c r="A352" t="s">
        <v>730</v>
      </c>
      <c r="B352" t="s">
        <v>23</v>
      </c>
      <c r="C352" s="7">
        <v>5</v>
      </c>
      <c r="D352" t="s">
        <v>731</v>
      </c>
      <c r="G352" s="11" t="str">
        <f t="shared" si="5"/>
        <v>positive</v>
      </c>
    </row>
    <row r="353" spans="1:7" x14ac:dyDescent="0.45">
      <c r="A353" t="s">
        <v>732</v>
      </c>
      <c r="B353" t="s">
        <v>23</v>
      </c>
      <c r="C353" s="7">
        <v>5</v>
      </c>
      <c r="D353" t="s">
        <v>733</v>
      </c>
      <c r="G353" s="11" t="str">
        <f t="shared" si="5"/>
        <v>positive</v>
      </c>
    </row>
    <row r="354" spans="1:7" x14ac:dyDescent="0.45">
      <c r="A354" t="s">
        <v>734</v>
      </c>
      <c r="B354" t="s">
        <v>23</v>
      </c>
      <c r="C354" s="7">
        <v>5</v>
      </c>
      <c r="D354" t="s">
        <v>735</v>
      </c>
      <c r="G354" s="11" t="str">
        <f t="shared" si="5"/>
        <v>positive</v>
      </c>
    </row>
    <row r="355" spans="1:7" x14ac:dyDescent="0.45">
      <c r="A355" t="s">
        <v>736</v>
      </c>
      <c r="B355" t="s">
        <v>62</v>
      </c>
      <c r="C355" s="7">
        <v>5</v>
      </c>
      <c r="D355" t="s">
        <v>737</v>
      </c>
      <c r="G355" s="11" t="str">
        <f t="shared" si="5"/>
        <v>positive</v>
      </c>
    </row>
    <row r="356" spans="1:7" x14ac:dyDescent="0.45">
      <c r="A356" t="s">
        <v>738</v>
      </c>
      <c r="B356" t="s">
        <v>74</v>
      </c>
      <c r="C356" s="7">
        <v>5</v>
      </c>
      <c r="D356" t="s">
        <v>739</v>
      </c>
      <c r="G356" s="11" t="str">
        <f t="shared" si="5"/>
        <v>positive</v>
      </c>
    </row>
    <row r="357" spans="1:7" x14ac:dyDescent="0.45">
      <c r="A357" t="s">
        <v>740</v>
      </c>
      <c r="B357" t="s">
        <v>62</v>
      </c>
      <c r="C357" s="7">
        <v>5</v>
      </c>
      <c r="D357" t="s">
        <v>741</v>
      </c>
      <c r="G357" s="11" t="str">
        <f t="shared" si="5"/>
        <v>positive</v>
      </c>
    </row>
    <row r="358" spans="1:7" x14ac:dyDescent="0.45">
      <c r="A358" t="s">
        <v>742</v>
      </c>
      <c r="B358" t="s">
        <v>62</v>
      </c>
      <c r="C358" s="7">
        <v>5</v>
      </c>
      <c r="D358" t="s">
        <v>743</v>
      </c>
      <c r="G358" s="11" t="str">
        <f t="shared" si="5"/>
        <v>positive</v>
      </c>
    </row>
    <row r="359" spans="1:7" x14ac:dyDescent="0.45">
      <c r="A359" t="s">
        <v>744</v>
      </c>
      <c r="B359" t="s">
        <v>26</v>
      </c>
      <c r="C359" s="7">
        <v>5</v>
      </c>
      <c r="D359" t="s">
        <v>745</v>
      </c>
      <c r="G359" s="11" t="str">
        <f t="shared" si="5"/>
        <v>positive</v>
      </c>
    </row>
    <row r="360" spans="1:7" x14ac:dyDescent="0.45">
      <c r="A360" t="s">
        <v>746</v>
      </c>
      <c r="B360" t="s">
        <v>62</v>
      </c>
      <c r="C360" s="7">
        <v>5</v>
      </c>
      <c r="D360" t="s">
        <v>747</v>
      </c>
      <c r="G360" s="11" t="str">
        <f t="shared" si="5"/>
        <v>positive</v>
      </c>
    </row>
    <row r="361" spans="1:7" x14ac:dyDescent="0.45">
      <c r="A361" t="s">
        <v>748</v>
      </c>
      <c r="B361" t="s">
        <v>74</v>
      </c>
      <c r="C361" s="7">
        <v>5</v>
      </c>
      <c r="D361" t="s">
        <v>749</v>
      </c>
      <c r="G361" s="11" t="str">
        <f t="shared" si="5"/>
        <v>positive</v>
      </c>
    </row>
    <row r="362" spans="1:7" x14ac:dyDescent="0.45">
      <c r="A362" t="s">
        <v>750</v>
      </c>
      <c r="B362" t="s">
        <v>138</v>
      </c>
      <c r="C362" s="7">
        <v>5</v>
      </c>
      <c r="D362" t="s">
        <v>751</v>
      </c>
      <c r="G362" s="11" t="str">
        <f t="shared" si="5"/>
        <v>positive</v>
      </c>
    </row>
    <row r="363" spans="1:7" x14ac:dyDescent="0.45">
      <c r="A363" t="s">
        <v>752</v>
      </c>
      <c r="B363" t="s">
        <v>31</v>
      </c>
      <c r="C363" s="7">
        <v>5</v>
      </c>
      <c r="D363" t="s">
        <v>753</v>
      </c>
      <c r="G363" s="11" t="str">
        <f t="shared" si="5"/>
        <v>positive</v>
      </c>
    </row>
    <row r="364" spans="1:7" x14ac:dyDescent="0.45">
      <c r="A364" t="s">
        <v>754</v>
      </c>
      <c r="B364" t="s">
        <v>62</v>
      </c>
      <c r="C364" s="7">
        <v>5</v>
      </c>
      <c r="D364" t="s">
        <v>755</v>
      </c>
      <c r="G364" s="11" t="str">
        <f t="shared" si="5"/>
        <v>positive</v>
      </c>
    </row>
    <row r="365" spans="1:7" x14ac:dyDescent="0.45">
      <c r="A365" t="s">
        <v>756</v>
      </c>
      <c r="B365" t="s">
        <v>757</v>
      </c>
      <c r="C365" s="7">
        <v>5</v>
      </c>
      <c r="D365" t="s">
        <v>758</v>
      </c>
      <c r="G365" s="11" t="str">
        <f t="shared" si="5"/>
        <v>positive</v>
      </c>
    </row>
    <row r="366" spans="1:7" x14ac:dyDescent="0.45">
      <c r="A366" t="s">
        <v>759</v>
      </c>
      <c r="B366" t="s">
        <v>23</v>
      </c>
      <c r="C366" s="7">
        <v>5</v>
      </c>
      <c r="D366" t="s">
        <v>760</v>
      </c>
      <c r="G366" s="11" t="str">
        <f t="shared" si="5"/>
        <v>positive</v>
      </c>
    </row>
    <row r="367" spans="1:7" x14ac:dyDescent="0.45">
      <c r="A367" t="s">
        <v>761</v>
      </c>
      <c r="B367" t="s">
        <v>62</v>
      </c>
      <c r="C367" s="7">
        <v>4</v>
      </c>
      <c r="D367" t="s">
        <v>762</v>
      </c>
      <c r="G367" s="11" t="str">
        <f t="shared" si="5"/>
        <v>positive</v>
      </c>
    </row>
    <row r="368" spans="1:7" x14ac:dyDescent="0.45">
      <c r="A368" t="s">
        <v>763</v>
      </c>
      <c r="B368" t="s">
        <v>23</v>
      </c>
      <c r="C368" s="7">
        <v>5</v>
      </c>
      <c r="D368" t="s">
        <v>764</v>
      </c>
      <c r="G368" s="11" t="str">
        <f t="shared" si="5"/>
        <v>positive</v>
      </c>
    </row>
    <row r="369" spans="1:7" x14ac:dyDescent="0.45">
      <c r="A369" t="s">
        <v>765</v>
      </c>
      <c r="B369" t="s">
        <v>74</v>
      </c>
      <c r="C369" s="7">
        <v>4</v>
      </c>
      <c r="D369" t="s">
        <v>766</v>
      </c>
      <c r="G369" s="11" t="str">
        <f t="shared" si="5"/>
        <v>positive</v>
      </c>
    </row>
    <row r="370" spans="1:7" x14ac:dyDescent="0.45">
      <c r="A370" t="s">
        <v>767</v>
      </c>
      <c r="B370" t="s">
        <v>62</v>
      </c>
      <c r="C370" s="7">
        <v>5</v>
      </c>
      <c r="D370" t="s">
        <v>570</v>
      </c>
      <c r="G370" s="11" t="str">
        <f t="shared" si="5"/>
        <v>positive</v>
      </c>
    </row>
    <row r="371" spans="1:7" x14ac:dyDescent="0.45">
      <c r="A371" t="s">
        <v>768</v>
      </c>
      <c r="B371" t="s">
        <v>23</v>
      </c>
      <c r="C371" s="7">
        <v>5</v>
      </c>
      <c r="D371" t="s">
        <v>769</v>
      </c>
      <c r="G371" s="11" t="str">
        <f t="shared" si="5"/>
        <v>positive</v>
      </c>
    </row>
    <row r="372" spans="1:7" x14ac:dyDescent="0.45">
      <c r="A372" t="s">
        <v>770</v>
      </c>
      <c r="B372" t="s">
        <v>23</v>
      </c>
      <c r="C372" s="7">
        <v>5</v>
      </c>
      <c r="D372" t="s">
        <v>771</v>
      </c>
      <c r="G372" s="11" t="str">
        <f t="shared" si="5"/>
        <v>positive</v>
      </c>
    </row>
    <row r="373" spans="1:7" x14ac:dyDescent="0.45">
      <c r="A373" t="s">
        <v>772</v>
      </c>
      <c r="B373" t="s">
        <v>26</v>
      </c>
      <c r="C373" s="7">
        <v>5</v>
      </c>
      <c r="D373" t="s">
        <v>773</v>
      </c>
      <c r="G373" s="11" t="str">
        <f t="shared" si="5"/>
        <v>positive</v>
      </c>
    </row>
    <row r="374" spans="1:7" x14ac:dyDescent="0.45">
      <c r="A374" t="s">
        <v>774</v>
      </c>
      <c r="B374" t="s">
        <v>31</v>
      </c>
      <c r="C374" s="7">
        <v>5</v>
      </c>
      <c r="D374" t="s">
        <v>775</v>
      </c>
      <c r="G374" s="11" t="str">
        <f t="shared" si="5"/>
        <v>positive</v>
      </c>
    </row>
    <row r="375" spans="1:7" x14ac:dyDescent="0.45">
      <c r="A375" t="s">
        <v>776</v>
      </c>
      <c r="B375" t="s">
        <v>129</v>
      </c>
      <c r="C375" s="7">
        <v>4</v>
      </c>
      <c r="D375" t="s">
        <v>777</v>
      </c>
      <c r="G375" s="11" t="str">
        <f t="shared" si="5"/>
        <v>positive</v>
      </c>
    </row>
    <row r="376" spans="1:7" x14ac:dyDescent="0.45">
      <c r="A376" t="s">
        <v>778</v>
      </c>
      <c r="B376" t="s">
        <v>23</v>
      </c>
      <c r="C376" s="7">
        <v>5</v>
      </c>
      <c r="D376" t="s">
        <v>779</v>
      </c>
      <c r="G376" s="11" t="str">
        <f t="shared" si="5"/>
        <v>positive</v>
      </c>
    </row>
    <row r="377" spans="1:7" x14ac:dyDescent="0.45">
      <c r="A377" t="s">
        <v>780</v>
      </c>
      <c r="B377" t="s">
        <v>781</v>
      </c>
      <c r="C377" s="7">
        <v>5</v>
      </c>
      <c r="D377" t="s">
        <v>782</v>
      </c>
      <c r="G377" s="11" t="str">
        <f t="shared" si="5"/>
        <v>positive</v>
      </c>
    </row>
    <row r="378" spans="1:7" x14ac:dyDescent="0.45">
      <c r="A378" t="s">
        <v>783</v>
      </c>
      <c r="B378" t="s">
        <v>26</v>
      </c>
      <c r="C378" s="7">
        <v>4</v>
      </c>
      <c r="D378" t="s">
        <v>784</v>
      </c>
      <c r="G378" s="11" t="str">
        <f t="shared" si="5"/>
        <v>positive</v>
      </c>
    </row>
    <row r="379" spans="1:7" x14ac:dyDescent="0.45">
      <c r="A379" t="s">
        <v>785</v>
      </c>
      <c r="B379" t="s">
        <v>62</v>
      </c>
      <c r="C379" s="7">
        <v>4</v>
      </c>
      <c r="D379" t="s">
        <v>786</v>
      </c>
      <c r="G379" s="11" t="str">
        <f t="shared" si="5"/>
        <v>positive</v>
      </c>
    </row>
    <row r="380" spans="1:7" x14ac:dyDescent="0.45">
      <c r="A380" t="s">
        <v>787</v>
      </c>
      <c r="B380" t="s">
        <v>74</v>
      </c>
      <c r="C380" s="7">
        <v>4</v>
      </c>
      <c r="D380" t="s">
        <v>788</v>
      </c>
      <c r="G380" s="11" t="str">
        <f t="shared" si="5"/>
        <v>positive</v>
      </c>
    </row>
    <row r="381" spans="1:7" x14ac:dyDescent="0.45">
      <c r="A381" t="s">
        <v>789</v>
      </c>
      <c r="B381" t="s">
        <v>23</v>
      </c>
      <c r="C381" s="7">
        <v>5</v>
      </c>
      <c r="D381" t="s">
        <v>790</v>
      </c>
      <c r="G381" s="11" t="str">
        <f t="shared" si="5"/>
        <v>positive</v>
      </c>
    </row>
    <row r="382" spans="1:7" x14ac:dyDescent="0.45">
      <c r="A382" t="s">
        <v>791</v>
      </c>
      <c r="B382" t="s">
        <v>23</v>
      </c>
      <c r="C382" s="7">
        <v>4</v>
      </c>
      <c r="D382" t="s">
        <v>792</v>
      </c>
      <c r="G382" s="11" t="str">
        <f t="shared" si="5"/>
        <v>positive</v>
      </c>
    </row>
    <row r="383" spans="1:7" x14ac:dyDescent="0.45">
      <c r="A383" t="s">
        <v>793</v>
      </c>
      <c r="B383" t="s">
        <v>23</v>
      </c>
      <c r="C383" s="7">
        <v>5</v>
      </c>
      <c r="D383" t="s">
        <v>794</v>
      </c>
      <c r="G383" s="11" t="str">
        <f t="shared" si="5"/>
        <v>positive</v>
      </c>
    </row>
    <row r="384" spans="1:7" x14ac:dyDescent="0.45">
      <c r="A384" t="s">
        <v>795</v>
      </c>
      <c r="B384" t="s">
        <v>62</v>
      </c>
      <c r="C384" s="7">
        <v>5</v>
      </c>
      <c r="D384" t="s">
        <v>796</v>
      </c>
      <c r="G384" s="11" t="str">
        <f t="shared" si="5"/>
        <v>positive</v>
      </c>
    </row>
    <row r="385" spans="1:7" x14ac:dyDescent="0.45">
      <c r="A385" t="s">
        <v>797</v>
      </c>
      <c r="B385" t="s">
        <v>74</v>
      </c>
      <c r="C385" s="7">
        <v>4</v>
      </c>
      <c r="D385" t="s">
        <v>798</v>
      </c>
      <c r="G385" s="11" t="str">
        <f t="shared" si="5"/>
        <v>positive</v>
      </c>
    </row>
    <row r="386" spans="1:7" x14ac:dyDescent="0.45">
      <c r="A386" t="s">
        <v>799</v>
      </c>
      <c r="B386" t="s">
        <v>23</v>
      </c>
      <c r="C386" s="7">
        <v>3</v>
      </c>
      <c r="D386" t="s">
        <v>800</v>
      </c>
      <c r="G386" s="11" t="str">
        <f t="shared" si="5"/>
        <v>neutral</v>
      </c>
    </row>
    <row r="387" spans="1:7" x14ac:dyDescent="0.45">
      <c r="A387" t="s">
        <v>801</v>
      </c>
      <c r="B387" t="s">
        <v>62</v>
      </c>
      <c r="C387" s="7">
        <v>5</v>
      </c>
      <c r="D387" t="s">
        <v>802</v>
      </c>
      <c r="G387" s="11" t="str">
        <f t="shared" ref="G387:G450" si="6">IF(C387&gt;=4,"positive", IF(C387&gt;=3,"neutral","negative"))</f>
        <v>positive</v>
      </c>
    </row>
    <row r="388" spans="1:7" x14ac:dyDescent="0.45">
      <c r="A388" t="s">
        <v>803</v>
      </c>
      <c r="B388" t="s">
        <v>23</v>
      </c>
      <c r="C388" s="7">
        <v>4</v>
      </c>
      <c r="D388" t="s">
        <v>804</v>
      </c>
      <c r="G388" s="11" t="str">
        <f t="shared" si="6"/>
        <v>positive</v>
      </c>
    </row>
    <row r="389" spans="1:7" x14ac:dyDescent="0.45">
      <c r="A389" t="s">
        <v>805</v>
      </c>
      <c r="B389" t="s">
        <v>74</v>
      </c>
      <c r="C389" s="7">
        <v>5</v>
      </c>
      <c r="D389" t="s">
        <v>806</v>
      </c>
      <c r="G389" s="11" t="str">
        <f t="shared" si="6"/>
        <v>positive</v>
      </c>
    </row>
    <row r="390" spans="1:7" x14ac:dyDescent="0.45">
      <c r="A390" t="s">
        <v>807</v>
      </c>
      <c r="B390" t="s">
        <v>26</v>
      </c>
      <c r="C390" s="7">
        <v>5</v>
      </c>
      <c r="D390" t="s">
        <v>808</v>
      </c>
      <c r="G390" s="11" t="str">
        <f t="shared" si="6"/>
        <v>positive</v>
      </c>
    </row>
    <row r="391" spans="1:7" x14ac:dyDescent="0.45">
      <c r="A391" t="s">
        <v>809</v>
      </c>
      <c r="B391" t="s">
        <v>74</v>
      </c>
      <c r="C391" s="7">
        <v>5</v>
      </c>
      <c r="D391" t="s">
        <v>810</v>
      </c>
      <c r="G391" s="11" t="str">
        <f t="shared" si="6"/>
        <v>positive</v>
      </c>
    </row>
    <row r="392" spans="1:7" x14ac:dyDescent="0.45">
      <c r="A392" t="s">
        <v>811</v>
      </c>
      <c r="B392" t="s">
        <v>23</v>
      </c>
      <c r="C392" s="7">
        <v>5</v>
      </c>
      <c r="D392" t="s">
        <v>812</v>
      </c>
      <c r="G392" s="11" t="str">
        <f t="shared" si="6"/>
        <v>positive</v>
      </c>
    </row>
    <row r="393" spans="1:7" x14ac:dyDescent="0.45">
      <c r="A393" t="s">
        <v>813</v>
      </c>
      <c r="B393" t="s">
        <v>23</v>
      </c>
      <c r="C393" s="7">
        <v>4</v>
      </c>
      <c r="D393" t="s">
        <v>814</v>
      </c>
      <c r="G393" s="11" t="str">
        <f t="shared" si="6"/>
        <v>positive</v>
      </c>
    </row>
    <row r="394" spans="1:7" x14ac:dyDescent="0.45">
      <c r="A394" t="s">
        <v>815</v>
      </c>
      <c r="B394" t="s">
        <v>31</v>
      </c>
      <c r="C394" s="7">
        <v>5</v>
      </c>
      <c r="D394" t="s">
        <v>816</v>
      </c>
      <c r="G394" s="11" t="str">
        <f t="shared" si="6"/>
        <v>positive</v>
      </c>
    </row>
    <row r="395" spans="1:7" x14ac:dyDescent="0.45">
      <c r="A395" t="s">
        <v>817</v>
      </c>
      <c r="B395" t="s">
        <v>74</v>
      </c>
      <c r="C395" s="7">
        <v>4</v>
      </c>
      <c r="D395" t="s">
        <v>818</v>
      </c>
      <c r="G395" s="11" t="str">
        <f t="shared" si="6"/>
        <v>positive</v>
      </c>
    </row>
    <row r="396" spans="1:7" x14ac:dyDescent="0.45">
      <c r="A396" t="s">
        <v>819</v>
      </c>
      <c r="B396" t="s">
        <v>31</v>
      </c>
      <c r="C396" s="7">
        <v>5</v>
      </c>
      <c r="D396" t="s">
        <v>820</v>
      </c>
      <c r="G396" s="11" t="str">
        <f t="shared" si="6"/>
        <v>positive</v>
      </c>
    </row>
    <row r="397" spans="1:7" x14ac:dyDescent="0.45">
      <c r="A397" t="s">
        <v>821</v>
      </c>
      <c r="B397" t="s">
        <v>62</v>
      </c>
      <c r="C397" s="7">
        <v>4</v>
      </c>
      <c r="D397" t="s">
        <v>822</v>
      </c>
      <c r="G397" s="11" t="str">
        <f t="shared" si="6"/>
        <v>positive</v>
      </c>
    </row>
    <row r="398" spans="1:7" x14ac:dyDescent="0.45">
      <c r="A398" t="s">
        <v>823</v>
      </c>
      <c r="B398" t="s">
        <v>74</v>
      </c>
      <c r="C398" s="7">
        <v>5</v>
      </c>
      <c r="D398" t="s">
        <v>824</v>
      </c>
      <c r="G398" s="11" t="str">
        <f t="shared" si="6"/>
        <v>positive</v>
      </c>
    </row>
    <row r="399" spans="1:7" x14ac:dyDescent="0.45">
      <c r="A399" t="s">
        <v>825</v>
      </c>
      <c r="B399" t="s">
        <v>23</v>
      </c>
      <c r="C399" s="7">
        <v>5</v>
      </c>
      <c r="D399" t="s">
        <v>826</v>
      </c>
      <c r="G399" s="11" t="str">
        <f t="shared" si="6"/>
        <v>positive</v>
      </c>
    </row>
    <row r="400" spans="1:7" x14ac:dyDescent="0.45">
      <c r="A400" t="s">
        <v>827</v>
      </c>
      <c r="B400" t="s">
        <v>23</v>
      </c>
      <c r="C400" s="7">
        <v>5</v>
      </c>
      <c r="D400" t="s">
        <v>806</v>
      </c>
      <c r="G400" s="11" t="str">
        <f t="shared" si="6"/>
        <v>positive</v>
      </c>
    </row>
    <row r="401" spans="1:7" x14ac:dyDescent="0.45">
      <c r="A401" t="s">
        <v>828</v>
      </c>
      <c r="B401" t="s">
        <v>31</v>
      </c>
      <c r="C401" s="7">
        <v>5</v>
      </c>
      <c r="D401" t="s">
        <v>829</v>
      </c>
      <c r="G401" s="11" t="str">
        <f t="shared" si="6"/>
        <v>positive</v>
      </c>
    </row>
    <row r="402" spans="1:7" x14ac:dyDescent="0.45">
      <c r="A402" t="s">
        <v>830</v>
      </c>
      <c r="B402" t="s">
        <v>26</v>
      </c>
      <c r="C402" s="7">
        <v>5</v>
      </c>
      <c r="D402" t="s">
        <v>831</v>
      </c>
      <c r="G402" s="11" t="str">
        <f t="shared" si="6"/>
        <v>positive</v>
      </c>
    </row>
    <row r="403" spans="1:7" x14ac:dyDescent="0.45">
      <c r="A403" t="s">
        <v>832</v>
      </c>
      <c r="B403" t="s">
        <v>23</v>
      </c>
      <c r="C403" s="7">
        <v>1</v>
      </c>
      <c r="D403" t="s">
        <v>833</v>
      </c>
      <c r="G403" s="11" t="str">
        <f t="shared" si="6"/>
        <v>negative</v>
      </c>
    </row>
    <row r="404" spans="1:7" x14ac:dyDescent="0.45">
      <c r="A404" t="s">
        <v>834</v>
      </c>
      <c r="B404" t="s">
        <v>74</v>
      </c>
      <c r="C404" s="7">
        <v>5</v>
      </c>
      <c r="D404" t="s">
        <v>835</v>
      </c>
      <c r="G404" s="11" t="str">
        <f t="shared" si="6"/>
        <v>positive</v>
      </c>
    </row>
    <row r="405" spans="1:7" x14ac:dyDescent="0.45">
      <c r="A405" t="s">
        <v>836</v>
      </c>
      <c r="B405" t="s">
        <v>62</v>
      </c>
      <c r="C405" s="7">
        <v>3</v>
      </c>
      <c r="D405" t="s">
        <v>837</v>
      </c>
      <c r="G405" s="11" t="str">
        <f t="shared" si="6"/>
        <v>neutral</v>
      </c>
    </row>
    <row r="406" spans="1:7" x14ac:dyDescent="0.45">
      <c r="A406" t="s">
        <v>838</v>
      </c>
      <c r="B406" t="s">
        <v>31</v>
      </c>
      <c r="C406" s="7">
        <v>5</v>
      </c>
      <c r="D406" t="s">
        <v>839</v>
      </c>
      <c r="G406" s="11" t="str">
        <f t="shared" si="6"/>
        <v>positive</v>
      </c>
    </row>
    <row r="407" spans="1:7" x14ac:dyDescent="0.45">
      <c r="A407" t="s">
        <v>840</v>
      </c>
      <c r="B407" t="s">
        <v>62</v>
      </c>
      <c r="C407" s="7">
        <v>5</v>
      </c>
      <c r="D407" t="s">
        <v>841</v>
      </c>
      <c r="G407" s="11" t="str">
        <f t="shared" si="6"/>
        <v>positive</v>
      </c>
    </row>
    <row r="408" spans="1:7" x14ac:dyDescent="0.45">
      <c r="A408" t="s">
        <v>842</v>
      </c>
      <c r="B408" t="s">
        <v>7</v>
      </c>
      <c r="C408" s="7">
        <v>4</v>
      </c>
      <c r="D408" t="s">
        <v>843</v>
      </c>
      <c r="G408" s="11" t="str">
        <f t="shared" si="6"/>
        <v>positive</v>
      </c>
    </row>
    <row r="409" spans="1:7" x14ac:dyDescent="0.45">
      <c r="A409" t="s">
        <v>844</v>
      </c>
      <c r="B409" t="s">
        <v>7</v>
      </c>
      <c r="C409" s="7">
        <v>5</v>
      </c>
      <c r="D409" t="s">
        <v>845</v>
      </c>
      <c r="G409" s="11" t="str">
        <f t="shared" si="6"/>
        <v>positive</v>
      </c>
    </row>
    <row r="410" spans="1:7" x14ac:dyDescent="0.45">
      <c r="A410" t="s">
        <v>846</v>
      </c>
      <c r="B410" t="s">
        <v>290</v>
      </c>
      <c r="C410" s="7">
        <v>5</v>
      </c>
      <c r="D410" t="s">
        <v>808</v>
      </c>
      <c r="G410" s="11" t="str">
        <f t="shared" si="6"/>
        <v>positive</v>
      </c>
    </row>
    <row r="411" spans="1:7" x14ac:dyDescent="0.45">
      <c r="A411" t="s">
        <v>847</v>
      </c>
      <c r="B411" t="s">
        <v>74</v>
      </c>
      <c r="C411" s="7">
        <v>5</v>
      </c>
      <c r="D411" t="s">
        <v>848</v>
      </c>
      <c r="G411" s="11" t="str">
        <f t="shared" si="6"/>
        <v>positive</v>
      </c>
    </row>
    <row r="412" spans="1:7" x14ac:dyDescent="0.45">
      <c r="A412" t="s">
        <v>849</v>
      </c>
      <c r="B412" t="s">
        <v>62</v>
      </c>
      <c r="C412" s="7">
        <v>5</v>
      </c>
      <c r="D412" t="s">
        <v>850</v>
      </c>
      <c r="G412" s="11" t="str">
        <f t="shared" si="6"/>
        <v>positive</v>
      </c>
    </row>
    <row r="413" spans="1:7" x14ac:dyDescent="0.45">
      <c r="A413" t="s">
        <v>851</v>
      </c>
      <c r="B413" t="s">
        <v>57</v>
      </c>
      <c r="C413" s="7">
        <v>4</v>
      </c>
      <c r="D413" t="s">
        <v>852</v>
      </c>
      <c r="G413" s="11" t="str">
        <f t="shared" si="6"/>
        <v>positive</v>
      </c>
    </row>
    <row r="414" spans="1:7" x14ac:dyDescent="0.45">
      <c r="A414" t="s">
        <v>853</v>
      </c>
      <c r="B414" t="s">
        <v>23</v>
      </c>
      <c r="C414" s="7">
        <v>5</v>
      </c>
      <c r="D414" t="s">
        <v>854</v>
      </c>
      <c r="G414" s="11" t="str">
        <f t="shared" si="6"/>
        <v>positive</v>
      </c>
    </row>
    <row r="415" spans="1:7" x14ac:dyDescent="0.45">
      <c r="A415" t="s">
        <v>855</v>
      </c>
      <c r="B415" t="s">
        <v>31</v>
      </c>
      <c r="C415" s="7">
        <v>5</v>
      </c>
      <c r="D415" t="s">
        <v>856</v>
      </c>
      <c r="G415" s="11" t="str">
        <f t="shared" si="6"/>
        <v>positive</v>
      </c>
    </row>
    <row r="416" spans="1:7" x14ac:dyDescent="0.45">
      <c r="A416" t="s">
        <v>857</v>
      </c>
      <c r="B416" t="s">
        <v>23</v>
      </c>
      <c r="C416" s="7">
        <v>5</v>
      </c>
      <c r="D416" t="s">
        <v>858</v>
      </c>
      <c r="G416" s="11" t="str">
        <f t="shared" si="6"/>
        <v>positive</v>
      </c>
    </row>
    <row r="417" spans="1:7" x14ac:dyDescent="0.45">
      <c r="A417" t="s">
        <v>859</v>
      </c>
      <c r="B417" t="s">
        <v>62</v>
      </c>
      <c r="C417" s="7">
        <v>4</v>
      </c>
      <c r="D417" t="s">
        <v>860</v>
      </c>
      <c r="G417" s="11" t="str">
        <f t="shared" si="6"/>
        <v>positive</v>
      </c>
    </row>
    <row r="418" spans="1:7" x14ac:dyDescent="0.45">
      <c r="A418" t="s">
        <v>861</v>
      </c>
      <c r="B418" t="s">
        <v>62</v>
      </c>
      <c r="C418" s="7">
        <v>5</v>
      </c>
      <c r="D418" t="s">
        <v>862</v>
      </c>
      <c r="G418" s="11" t="str">
        <f t="shared" si="6"/>
        <v>positive</v>
      </c>
    </row>
    <row r="419" spans="1:7" x14ac:dyDescent="0.45">
      <c r="A419" t="s">
        <v>863</v>
      </c>
      <c r="B419" t="s">
        <v>62</v>
      </c>
      <c r="C419" s="7">
        <v>5</v>
      </c>
      <c r="D419" t="s">
        <v>864</v>
      </c>
      <c r="G419" s="11" t="str">
        <f t="shared" si="6"/>
        <v>positive</v>
      </c>
    </row>
    <row r="420" spans="1:7" x14ac:dyDescent="0.45">
      <c r="A420" t="s">
        <v>865</v>
      </c>
      <c r="B420" t="s">
        <v>129</v>
      </c>
      <c r="C420" s="7">
        <v>3</v>
      </c>
      <c r="D420" t="s">
        <v>866</v>
      </c>
      <c r="G420" s="11" t="str">
        <f t="shared" si="6"/>
        <v>neutral</v>
      </c>
    </row>
    <row r="421" spans="1:7" x14ac:dyDescent="0.45">
      <c r="A421" t="s">
        <v>867</v>
      </c>
      <c r="B421" t="s">
        <v>62</v>
      </c>
      <c r="C421" s="7">
        <v>5</v>
      </c>
      <c r="D421" t="s">
        <v>868</v>
      </c>
      <c r="G421" s="11" t="str">
        <f t="shared" si="6"/>
        <v>positive</v>
      </c>
    </row>
    <row r="422" spans="1:7" x14ac:dyDescent="0.45">
      <c r="A422" t="s">
        <v>869</v>
      </c>
      <c r="B422" t="s">
        <v>74</v>
      </c>
      <c r="C422" s="7">
        <v>4</v>
      </c>
      <c r="D422" t="s">
        <v>870</v>
      </c>
      <c r="G422" s="11" t="str">
        <f t="shared" si="6"/>
        <v>positive</v>
      </c>
    </row>
    <row r="423" spans="1:7" x14ac:dyDescent="0.45">
      <c r="A423" t="s">
        <v>871</v>
      </c>
      <c r="B423" t="s">
        <v>62</v>
      </c>
      <c r="C423" s="7">
        <v>5</v>
      </c>
      <c r="D423" t="s">
        <v>872</v>
      </c>
      <c r="G423" s="11" t="str">
        <f t="shared" si="6"/>
        <v>positive</v>
      </c>
    </row>
    <row r="424" spans="1:7" x14ac:dyDescent="0.45">
      <c r="A424" t="s">
        <v>873</v>
      </c>
      <c r="B424" t="s">
        <v>138</v>
      </c>
      <c r="C424" s="7">
        <v>5</v>
      </c>
      <c r="D424" t="s">
        <v>874</v>
      </c>
      <c r="G424" s="11" t="str">
        <f t="shared" si="6"/>
        <v>positive</v>
      </c>
    </row>
    <row r="425" spans="1:7" x14ac:dyDescent="0.45">
      <c r="A425" t="s">
        <v>875</v>
      </c>
      <c r="B425" t="s">
        <v>26</v>
      </c>
      <c r="C425" s="7">
        <v>5</v>
      </c>
      <c r="D425" t="s">
        <v>876</v>
      </c>
      <c r="G425" s="11" t="str">
        <f t="shared" si="6"/>
        <v>positive</v>
      </c>
    </row>
    <row r="426" spans="1:7" x14ac:dyDescent="0.45">
      <c r="A426" t="s">
        <v>877</v>
      </c>
      <c r="B426" t="s">
        <v>31</v>
      </c>
      <c r="C426" s="7">
        <v>5</v>
      </c>
      <c r="D426" t="s">
        <v>806</v>
      </c>
      <c r="G426" s="11" t="str">
        <f t="shared" si="6"/>
        <v>positive</v>
      </c>
    </row>
    <row r="427" spans="1:7" x14ac:dyDescent="0.45">
      <c r="A427" t="s">
        <v>878</v>
      </c>
      <c r="B427" t="s">
        <v>23</v>
      </c>
      <c r="C427" s="7">
        <v>5</v>
      </c>
      <c r="D427" t="s">
        <v>879</v>
      </c>
      <c r="G427" s="11" t="str">
        <f t="shared" si="6"/>
        <v>positive</v>
      </c>
    </row>
    <row r="428" spans="1:7" x14ac:dyDescent="0.45">
      <c r="A428" t="s">
        <v>880</v>
      </c>
      <c r="B428" t="s">
        <v>7</v>
      </c>
      <c r="C428" s="7">
        <v>5</v>
      </c>
      <c r="D428" t="s">
        <v>848</v>
      </c>
      <c r="G428" s="11" t="str">
        <f t="shared" si="6"/>
        <v>positive</v>
      </c>
    </row>
    <row r="429" spans="1:7" x14ac:dyDescent="0.45">
      <c r="A429" t="s">
        <v>881</v>
      </c>
      <c r="B429" t="s">
        <v>62</v>
      </c>
      <c r="C429" s="7">
        <v>5</v>
      </c>
      <c r="D429" t="s">
        <v>882</v>
      </c>
      <c r="G429" s="11" t="str">
        <f t="shared" si="6"/>
        <v>positive</v>
      </c>
    </row>
    <row r="430" spans="1:7" x14ac:dyDescent="0.45">
      <c r="A430" t="s">
        <v>883</v>
      </c>
      <c r="B430" t="s">
        <v>62</v>
      </c>
      <c r="C430" s="7">
        <v>4</v>
      </c>
      <c r="D430" t="s">
        <v>884</v>
      </c>
      <c r="G430" s="11" t="str">
        <f t="shared" si="6"/>
        <v>positive</v>
      </c>
    </row>
    <row r="431" spans="1:7" x14ac:dyDescent="0.45">
      <c r="A431" t="s">
        <v>885</v>
      </c>
      <c r="B431" t="s">
        <v>23</v>
      </c>
      <c r="C431" s="7">
        <v>5</v>
      </c>
      <c r="D431" t="s">
        <v>676</v>
      </c>
      <c r="G431" s="11" t="str">
        <f t="shared" si="6"/>
        <v>positive</v>
      </c>
    </row>
    <row r="432" spans="1:7" x14ac:dyDescent="0.45">
      <c r="A432" t="s">
        <v>886</v>
      </c>
      <c r="B432" t="s">
        <v>23</v>
      </c>
      <c r="C432" s="7">
        <v>5</v>
      </c>
      <c r="D432" t="s">
        <v>676</v>
      </c>
      <c r="G432" s="11" t="str">
        <f t="shared" si="6"/>
        <v>positive</v>
      </c>
    </row>
    <row r="433" spans="1:7" x14ac:dyDescent="0.45">
      <c r="A433" t="s">
        <v>887</v>
      </c>
      <c r="B433" t="s">
        <v>62</v>
      </c>
      <c r="C433" s="7">
        <v>5</v>
      </c>
      <c r="D433" t="s">
        <v>888</v>
      </c>
      <c r="G433" s="11" t="str">
        <f t="shared" si="6"/>
        <v>positive</v>
      </c>
    </row>
    <row r="434" spans="1:7" x14ac:dyDescent="0.45">
      <c r="A434" t="s">
        <v>889</v>
      </c>
      <c r="B434" t="s">
        <v>62</v>
      </c>
      <c r="C434" s="7">
        <v>3</v>
      </c>
      <c r="D434" t="s">
        <v>890</v>
      </c>
      <c r="G434" s="11" t="str">
        <f t="shared" si="6"/>
        <v>neutral</v>
      </c>
    </row>
    <row r="435" spans="1:7" x14ac:dyDescent="0.45">
      <c r="A435" t="s">
        <v>891</v>
      </c>
      <c r="B435" t="s">
        <v>23</v>
      </c>
      <c r="C435" s="7">
        <v>5</v>
      </c>
      <c r="D435" t="s">
        <v>892</v>
      </c>
      <c r="G435" s="11" t="str">
        <f t="shared" si="6"/>
        <v>positive</v>
      </c>
    </row>
    <row r="436" spans="1:7" x14ac:dyDescent="0.45">
      <c r="A436" t="s">
        <v>893</v>
      </c>
      <c r="B436" t="s">
        <v>23</v>
      </c>
      <c r="C436" s="7">
        <v>5</v>
      </c>
      <c r="D436" t="s">
        <v>894</v>
      </c>
      <c r="G436" s="11" t="str">
        <f t="shared" si="6"/>
        <v>positive</v>
      </c>
    </row>
    <row r="437" spans="1:7" x14ac:dyDescent="0.45">
      <c r="A437" t="s">
        <v>895</v>
      </c>
      <c r="B437" t="s">
        <v>31</v>
      </c>
      <c r="C437" s="7">
        <v>5</v>
      </c>
      <c r="D437" t="s">
        <v>896</v>
      </c>
      <c r="G437" s="11" t="str">
        <f t="shared" si="6"/>
        <v>positive</v>
      </c>
    </row>
    <row r="438" spans="1:7" x14ac:dyDescent="0.45">
      <c r="A438" t="s">
        <v>897</v>
      </c>
      <c r="B438" t="s">
        <v>293</v>
      </c>
      <c r="C438" s="7">
        <v>4</v>
      </c>
      <c r="D438" t="s">
        <v>898</v>
      </c>
      <c r="G438" s="11" t="str">
        <f t="shared" si="6"/>
        <v>positive</v>
      </c>
    </row>
    <row r="439" spans="1:7" x14ac:dyDescent="0.45">
      <c r="A439" t="s">
        <v>899</v>
      </c>
      <c r="B439" t="s">
        <v>31</v>
      </c>
      <c r="C439" s="7">
        <v>5</v>
      </c>
      <c r="D439" t="s">
        <v>570</v>
      </c>
      <c r="G439" s="11" t="str">
        <f t="shared" si="6"/>
        <v>positive</v>
      </c>
    </row>
    <row r="440" spans="1:7" x14ac:dyDescent="0.45">
      <c r="A440" t="s">
        <v>900</v>
      </c>
      <c r="B440" t="s">
        <v>290</v>
      </c>
      <c r="C440" s="7">
        <v>5</v>
      </c>
      <c r="D440" t="s">
        <v>901</v>
      </c>
      <c r="G440" s="11" t="str">
        <f t="shared" si="6"/>
        <v>positive</v>
      </c>
    </row>
    <row r="441" spans="1:7" x14ac:dyDescent="0.45">
      <c r="A441" t="s">
        <v>902</v>
      </c>
      <c r="B441" t="s">
        <v>23</v>
      </c>
      <c r="C441" s="7">
        <v>5</v>
      </c>
      <c r="D441" t="s">
        <v>903</v>
      </c>
      <c r="G441" s="11" t="str">
        <f t="shared" si="6"/>
        <v>positive</v>
      </c>
    </row>
    <row r="442" spans="1:7" x14ac:dyDescent="0.45">
      <c r="A442" t="s">
        <v>904</v>
      </c>
      <c r="B442" t="s">
        <v>62</v>
      </c>
      <c r="C442" s="7">
        <v>4</v>
      </c>
      <c r="D442" t="s">
        <v>570</v>
      </c>
      <c r="G442" s="11" t="str">
        <f t="shared" si="6"/>
        <v>positive</v>
      </c>
    </row>
    <row r="443" spans="1:7" x14ac:dyDescent="0.45">
      <c r="A443" t="s">
        <v>905</v>
      </c>
      <c r="B443" t="s">
        <v>62</v>
      </c>
      <c r="C443" s="7">
        <v>3</v>
      </c>
      <c r="D443" t="s">
        <v>906</v>
      </c>
      <c r="G443" s="11" t="str">
        <f t="shared" si="6"/>
        <v>neutral</v>
      </c>
    </row>
    <row r="444" spans="1:7" x14ac:dyDescent="0.45">
      <c r="A444" t="s">
        <v>907</v>
      </c>
      <c r="B444" t="s">
        <v>290</v>
      </c>
      <c r="C444" s="7">
        <v>5</v>
      </c>
      <c r="D444" t="s">
        <v>676</v>
      </c>
      <c r="G444" s="11" t="str">
        <f t="shared" si="6"/>
        <v>positive</v>
      </c>
    </row>
    <row r="445" spans="1:7" x14ac:dyDescent="0.45">
      <c r="A445" t="s">
        <v>908</v>
      </c>
      <c r="B445" t="s">
        <v>62</v>
      </c>
      <c r="C445" s="7">
        <v>5</v>
      </c>
      <c r="D445" t="s">
        <v>909</v>
      </c>
      <c r="G445" s="11" t="str">
        <f t="shared" si="6"/>
        <v>positive</v>
      </c>
    </row>
    <row r="446" spans="1:7" x14ac:dyDescent="0.45">
      <c r="A446" t="s">
        <v>910</v>
      </c>
      <c r="B446" t="s">
        <v>62</v>
      </c>
      <c r="C446" s="7">
        <v>5</v>
      </c>
      <c r="D446" t="s">
        <v>644</v>
      </c>
      <c r="G446" s="11" t="str">
        <f t="shared" si="6"/>
        <v>positive</v>
      </c>
    </row>
    <row r="447" spans="1:7" x14ac:dyDescent="0.45">
      <c r="A447" t="s">
        <v>911</v>
      </c>
      <c r="B447" t="s">
        <v>23</v>
      </c>
      <c r="C447" s="7">
        <v>4</v>
      </c>
      <c r="D447" t="s">
        <v>912</v>
      </c>
      <c r="G447" s="11" t="str">
        <f t="shared" si="6"/>
        <v>positive</v>
      </c>
    </row>
    <row r="448" spans="1:7" x14ac:dyDescent="0.45">
      <c r="A448" t="s">
        <v>913</v>
      </c>
      <c r="B448" t="s">
        <v>23</v>
      </c>
      <c r="C448" s="7">
        <v>5</v>
      </c>
      <c r="D448" t="s">
        <v>914</v>
      </c>
      <c r="G448" s="11" t="str">
        <f t="shared" si="6"/>
        <v>positive</v>
      </c>
    </row>
    <row r="449" spans="1:7" x14ac:dyDescent="0.45">
      <c r="A449" t="s">
        <v>915</v>
      </c>
      <c r="B449" t="s">
        <v>62</v>
      </c>
      <c r="C449" s="7">
        <v>5</v>
      </c>
      <c r="D449" t="s">
        <v>676</v>
      </c>
      <c r="G449" s="11" t="str">
        <f t="shared" si="6"/>
        <v>positive</v>
      </c>
    </row>
    <row r="450" spans="1:7" x14ac:dyDescent="0.45">
      <c r="A450" t="s">
        <v>916</v>
      </c>
      <c r="B450" t="s">
        <v>74</v>
      </c>
      <c r="C450" s="7">
        <v>5</v>
      </c>
      <c r="D450" t="s">
        <v>917</v>
      </c>
      <c r="G450" s="11" t="str">
        <f t="shared" si="6"/>
        <v>positive</v>
      </c>
    </row>
    <row r="451" spans="1:7" x14ac:dyDescent="0.45">
      <c r="A451" t="s">
        <v>918</v>
      </c>
      <c r="B451" t="s">
        <v>62</v>
      </c>
      <c r="C451" s="7">
        <v>3</v>
      </c>
      <c r="D451" t="s">
        <v>919</v>
      </c>
      <c r="G451" s="11" t="str">
        <f t="shared" ref="G451:G514" si="7">IF(C451&gt;=4,"positive", IF(C451&gt;=3,"neutral","negative"))</f>
        <v>neutral</v>
      </c>
    </row>
    <row r="452" spans="1:7" x14ac:dyDescent="0.45">
      <c r="A452" t="s">
        <v>920</v>
      </c>
      <c r="B452" t="s">
        <v>23</v>
      </c>
      <c r="C452" s="7">
        <v>5</v>
      </c>
      <c r="D452" t="s">
        <v>921</v>
      </c>
      <c r="G452" s="11" t="str">
        <f t="shared" si="7"/>
        <v>positive</v>
      </c>
    </row>
    <row r="453" spans="1:7" x14ac:dyDescent="0.45">
      <c r="A453" t="s">
        <v>922</v>
      </c>
      <c r="B453" t="s">
        <v>62</v>
      </c>
      <c r="C453" s="7">
        <v>5</v>
      </c>
      <c r="D453" t="s">
        <v>923</v>
      </c>
      <c r="G453" s="11" t="str">
        <f t="shared" si="7"/>
        <v>positive</v>
      </c>
    </row>
    <row r="454" spans="1:7" x14ac:dyDescent="0.45">
      <c r="A454" t="s">
        <v>924</v>
      </c>
      <c r="B454" t="s">
        <v>62</v>
      </c>
      <c r="C454" s="7">
        <v>5</v>
      </c>
      <c r="D454" t="s">
        <v>775</v>
      </c>
      <c r="G454" s="11" t="str">
        <f t="shared" si="7"/>
        <v>positive</v>
      </c>
    </row>
    <row r="455" spans="1:7" x14ac:dyDescent="0.45">
      <c r="A455" t="s">
        <v>925</v>
      </c>
      <c r="B455" t="s">
        <v>23</v>
      </c>
      <c r="C455" s="7">
        <v>4</v>
      </c>
      <c r="D455" t="s">
        <v>852</v>
      </c>
      <c r="G455" s="11" t="str">
        <f t="shared" si="7"/>
        <v>positive</v>
      </c>
    </row>
    <row r="456" spans="1:7" x14ac:dyDescent="0.45">
      <c r="A456" t="s">
        <v>926</v>
      </c>
      <c r="B456" t="s">
        <v>23</v>
      </c>
      <c r="C456" s="7">
        <v>5</v>
      </c>
      <c r="D456" t="s">
        <v>806</v>
      </c>
      <c r="G456" s="11" t="str">
        <f t="shared" si="7"/>
        <v>positive</v>
      </c>
    </row>
    <row r="457" spans="1:7" x14ac:dyDescent="0.45">
      <c r="A457" t="s">
        <v>927</v>
      </c>
      <c r="B457" t="s">
        <v>23</v>
      </c>
      <c r="C457" s="7">
        <v>5</v>
      </c>
      <c r="D457" t="s">
        <v>806</v>
      </c>
      <c r="G457" s="11" t="str">
        <f t="shared" si="7"/>
        <v>positive</v>
      </c>
    </row>
    <row r="458" spans="1:7" x14ac:dyDescent="0.45">
      <c r="A458" t="s">
        <v>928</v>
      </c>
      <c r="B458" t="s">
        <v>23</v>
      </c>
      <c r="C458" s="7">
        <v>5</v>
      </c>
      <c r="D458" t="s">
        <v>929</v>
      </c>
      <c r="G458" s="11" t="str">
        <f t="shared" si="7"/>
        <v>positive</v>
      </c>
    </row>
    <row r="459" spans="1:7" x14ac:dyDescent="0.45">
      <c r="A459" t="s">
        <v>930</v>
      </c>
      <c r="B459" t="s">
        <v>62</v>
      </c>
      <c r="C459" s="7">
        <v>5</v>
      </c>
      <c r="D459" t="s">
        <v>931</v>
      </c>
      <c r="G459" s="11" t="str">
        <f t="shared" si="7"/>
        <v>positive</v>
      </c>
    </row>
    <row r="460" spans="1:7" x14ac:dyDescent="0.45">
      <c r="A460" t="s">
        <v>932</v>
      </c>
      <c r="B460" t="s">
        <v>23</v>
      </c>
      <c r="C460" s="7">
        <v>5</v>
      </c>
      <c r="D460" t="s">
        <v>852</v>
      </c>
      <c r="G460" s="11" t="str">
        <f t="shared" si="7"/>
        <v>positive</v>
      </c>
    </row>
    <row r="461" spans="1:7" x14ac:dyDescent="0.45">
      <c r="A461" t="s">
        <v>933</v>
      </c>
      <c r="B461" t="s">
        <v>74</v>
      </c>
      <c r="C461" s="7">
        <v>4</v>
      </c>
      <c r="D461" t="s">
        <v>934</v>
      </c>
      <c r="G461" s="11" t="str">
        <f t="shared" si="7"/>
        <v>positive</v>
      </c>
    </row>
    <row r="462" spans="1:7" x14ac:dyDescent="0.45">
      <c r="A462" t="s">
        <v>935</v>
      </c>
      <c r="B462" t="s">
        <v>74</v>
      </c>
      <c r="C462" s="7">
        <v>5</v>
      </c>
      <c r="D462" t="s">
        <v>936</v>
      </c>
      <c r="G462" s="11" t="str">
        <f t="shared" si="7"/>
        <v>positive</v>
      </c>
    </row>
    <row r="463" spans="1:7" x14ac:dyDescent="0.45">
      <c r="A463" t="s">
        <v>937</v>
      </c>
      <c r="B463" t="s">
        <v>26</v>
      </c>
      <c r="C463" s="7">
        <v>5</v>
      </c>
      <c r="D463" t="s">
        <v>938</v>
      </c>
      <c r="G463" s="11" t="str">
        <f t="shared" si="7"/>
        <v>positive</v>
      </c>
    </row>
    <row r="464" spans="1:7" x14ac:dyDescent="0.45">
      <c r="A464" t="s">
        <v>939</v>
      </c>
      <c r="B464" t="s">
        <v>62</v>
      </c>
      <c r="C464" s="7">
        <v>5</v>
      </c>
      <c r="D464" t="s">
        <v>940</v>
      </c>
      <c r="G464" s="11" t="str">
        <f t="shared" si="7"/>
        <v>positive</v>
      </c>
    </row>
    <row r="465" spans="1:7" x14ac:dyDescent="0.45">
      <c r="A465" t="s">
        <v>941</v>
      </c>
      <c r="B465" t="s">
        <v>74</v>
      </c>
      <c r="C465" s="7">
        <v>5</v>
      </c>
      <c r="D465" t="s">
        <v>942</v>
      </c>
      <c r="G465" s="11" t="str">
        <f t="shared" si="7"/>
        <v>positive</v>
      </c>
    </row>
    <row r="466" spans="1:7" x14ac:dyDescent="0.45">
      <c r="A466" t="s">
        <v>943</v>
      </c>
      <c r="B466" t="s">
        <v>62</v>
      </c>
      <c r="C466" s="7">
        <v>4</v>
      </c>
      <c r="D466" t="s">
        <v>944</v>
      </c>
      <c r="G466" s="11" t="str">
        <f t="shared" si="7"/>
        <v>positive</v>
      </c>
    </row>
    <row r="467" spans="1:7" x14ac:dyDescent="0.45">
      <c r="A467" t="s">
        <v>945</v>
      </c>
      <c r="B467" t="s">
        <v>74</v>
      </c>
      <c r="C467" s="7">
        <v>4</v>
      </c>
      <c r="D467" t="s">
        <v>946</v>
      </c>
      <c r="G467" s="11" t="str">
        <f t="shared" si="7"/>
        <v>positive</v>
      </c>
    </row>
    <row r="468" spans="1:7" x14ac:dyDescent="0.45">
      <c r="A468" t="s">
        <v>947</v>
      </c>
      <c r="B468" t="s">
        <v>74</v>
      </c>
      <c r="C468" s="7">
        <v>5</v>
      </c>
      <c r="D468" t="s">
        <v>948</v>
      </c>
      <c r="G468" s="11" t="str">
        <f t="shared" si="7"/>
        <v>positive</v>
      </c>
    </row>
    <row r="469" spans="1:7" x14ac:dyDescent="0.45">
      <c r="A469" t="s">
        <v>949</v>
      </c>
      <c r="B469" t="s">
        <v>74</v>
      </c>
      <c r="C469" s="7">
        <v>5</v>
      </c>
      <c r="D469" t="s">
        <v>570</v>
      </c>
      <c r="G469" s="11" t="str">
        <f t="shared" si="7"/>
        <v>positive</v>
      </c>
    </row>
    <row r="470" spans="1:7" x14ac:dyDescent="0.45">
      <c r="A470" t="s">
        <v>950</v>
      </c>
      <c r="B470" t="s">
        <v>74</v>
      </c>
      <c r="C470" s="7">
        <v>4</v>
      </c>
      <c r="D470" t="s">
        <v>676</v>
      </c>
      <c r="G470" s="11" t="str">
        <f t="shared" si="7"/>
        <v>positive</v>
      </c>
    </row>
    <row r="471" spans="1:7" x14ac:dyDescent="0.45">
      <c r="A471" t="s">
        <v>951</v>
      </c>
      <c r="B471" t="s">
        <v>23</v>
      </c>
      <c r="C471" s="7">
        <v>5</v>
      </c>
      <c r="D471" t="s">
        <v>952</v>
      </c>
      <c r="G471" s="11" t="str">
        <f t="shared" si="7"/>
        <v>positive</v>
      </c>
    </row>
    <row r="472" spans="1:7" x14ac:dyDescent="0.45">
      <c r="A472" t="s">
        <v>953</v>
      </c>
      <c r="B472" t="s">
        <v>23</v>
      </c>
      <c r="C472" s="7">
        <v>4</v>
      </c>
      <c r="D472" t="s">
        <v>700</v>
      </c>
      <c r="G472" s="11" t="str">
        <f t="shared" si="7"/>
        <v>positive</v>
      </c>
    </row>
    <row r="473" spans="1:7" x14ac:dyDescent="0.45">
      <c r="A473" t="s">
        <v>954</v>
      </c>
      <c r="B473" t="s">
        <v>23</v>
      </c>
      <c r="C473" s="7">
        <v>5</v>
      </c>
      <c r="D473" t="s">
        <v>955</v>
      </c>
      <c r="G473" s="11" t="str">
        <f t="shared" si="7"/>
        <v>positive</v>
      </c>
    </row>
    <row r="474" spans="1:7" x14ac:dyDescent="0.45">
      <c r="A474" t="s">
        <v>956</v>
      </c>
      <c r="B474" t="s">
        <v>23</v>
      </c>
      <c r="C474" s="7">
        <v>5</v>
      </c>
      <c r="D474" t="s">
        <v>848</v>
      </c>
      <c r="G474" s="11" t="str">
        <f t="shared" si="7"/>
        <v>positive</v>
      </c>
    </row>
    <row r="475" spans="1:7" x14ac:dyDescent="0.45">
      <c r="A475" t="s">
        <v>957</v>
      </c>
      <c r="B475" t="s">
        <v>74</v>
      </c>
      <c r="C475" s="7">
        <v>4</v>
      </c>
      <c r="D475" t="s">
        <v>848</v>
      </c>
      <c r="G475" s="11" t="str">
        <f t="shared" si="7"/>
        <v>positive</v>
      </c>
    </row>
    <row r="476" spans="1:7" x14ac:dyDescent="0.45">
      <c r="A476" t="s">
        <v>958</v>
      </c>
      <c r="B476" t="s">
        <v>62</v>
      </c>
      <c r="C476" s="7">
        <v>5</v>
      </c>
      <c r="D476" t="s">
        <v>959</v>
      </c>
      <c r="G476" s="11" t="str">
        <f t="shared" si="7"/>
        <v>positive</v>
      </c>
    </row>
    <row r="477" spans="1:7" x14ac:dyDescent="0.45">
      <c r="A477" t="s">
        <v>960</v>
      </c>
      <c r="B477" t="s">
        <v>23</v>
      </c>
      <c r="C477" s="7">
        <v>5</v>
      </c>
      <c r="D477" t="s">
        <v>848</v>
      </c>
      <c r="G477" s="11" t="str">
        <f t="shared" si="7"/>
        <v>positive</v>
      </c>
    </row>
    <row r="478" spans="1:7" x14ac:dyDescent="0.45">
      <c r="A478" t="s">
        <v>961</v>
      </c>
      <c r="B478" t="s">
        <v>962</v>
      </c>
      <c r="C478" s="7">
        <v>5</v>
      </c>
      <c r="D478" t="s">
        <v>848</v>
      </c>
      <c r="G478" s="11" t="str">
        <f t="shared" si="7"/>
        <v>positive</v>
      </c>
    </row>
    <row r="479" spans="1:7" x14ac:dyDescent="0.45">
      <c r="A479" t="s">
        <v>963</v>
      </c>
      <c r="B479" t="s">
        <v>74</v>
      </c>
      <c r="C479" s="7">
        <v>5</v>
      </c>
      <c r="D479" t="s">
        <v>848</v>
      </c>
      <c r="G479" s="11" t="str">
        <f t="shared" si="7"/>
        <v>positive</v>
      </c>
    </row>
    <row r="480" spans="1:7" x14ac:dyDescent="0.45">
      <c r="A480" t="s">
        <v>964</v>
      </c>
      <c r="B480" t="s">
        <v>74</v>
      </c>
      <c r="C480" s="7">
        <v>5</v>
      </c>
      <c r="D480" t="s">
        <v>965</v>
      </c>
      <c r="G480" s="11" t="str">
        <f t="shared" si="7"/>
        <v>positive</v>
      </c>
    </row>
    <row r="481" spans="1:7" x14ac:dyDescent="0.45">
      <c r="A481" t="s">
        <v>966</v>
      </c>
      <c r="B481" t="s">
        <v>62</v>
      </c>
      <c r="C481" s="7">
        <v>5</v>
      </c>
      <c r="D481" t="s">
        <v>967</v>
      </c>
      <c r="G481" s="11" t="str">
        <f t="shared" si="7"/>
        <v>positive</v>
      </c>
    </row>
    <row r="482" spans="1:7" x14ac:dyDescent="0.45">
      <c r="A482" t="s">
        <v>968</v>
      </c>
      <c r="B482" t="s">
        <v>62</v>
      </c>
      <c r="C482" s="7">
        <v>5</v>
      </c>
      <c r="D482" t="s">
        <v>969</v>
      </c>
      <c r="G482" s="11" t="str">
        <f t="shared" si="7"/>
        <v>positive</v>
      </c>
    </row>
    <row r="483" spans="1:7" x14ac:dyDescent="0.45">
      <c r="A483" t="s">
        <v>970</v>
      </c>
      <c r="B483" t="s">
        <v>971</v>
      </c>
      <c r="C483" s="7">
        <v>3</v>
      </c>
      <c r="D483" t="s">
        <v>972</v>
      </c>
      <c r="G483" s="11" t="str">
        <f t="shared" si="7"/>
        <v>neutral</v>
      </c>
    </row>
    <row r="484" spans="1:7" x14ac:dyDescent="0.45">
      <c r="A484" t="s">
        <v>973</v>
      </c>
      <c r="B484" t="s">
        <v>974</v>
      </c>
      <c r="C484" s="7">
        <v>5</v>
      </c>
      <c r="D484" t="s">
        <v>975</v>
      </c>
      <c r="G484" s="11" t="str">
        <f t="shared" si="7"/>
        <v>positive</v>
      </c>
    </row>
    <row r="485" spans="1:7" x14ac:dyDescent="0.45">
      <c r="A485" t="s">
        <v>976</v>
      </c>
      <c r="B485" t="s">
        <v>974</v>
      </c>
      <c r="C485" s="7">
        <v>5</v>
      </c>
      <c r="D485" t="s">
        <v>977</v>
      </c>
      <c r="G485" s="11" t="str">
        <f t="shared" si="7"/>
        <v>positive</v>
      </c>
    </row>
    <row r="486" spans="1:7" x14ac:dyDescent="0.45">
      <c r="A486" t="s">
        <v>978</v>
      </c>
      <c r="B486" t="s">
        <v>979</v>
      </c>
      <c r="C486" s="7">
        <v>5</v>
      </c>
      <c r="D486" t="s">
        <v>980</v>
      </c>
      <c r="G486" s="11" t="str">
        <f t="shared" si="7"/>
        <v>positive</v>
      </c>
    </row>
    <row r="487" spans="1:7" x14ac:dyDescent="0.45">
      <c r="A487" t="s">
        <v>981</v>
      </c>
      <c r="B487" t="s">
        <v>252</v>
      </c>
      <c r="C487" s="7">
        <v>5</v>
      </c>
      <c r="D487" t="s">
        <v>982</v>
      </c>
      <c r="G487" s="11" t="str">
        <f t="shared" si="7"/>
        <v>positive</v>
      </c>
    </row>
    <row r="488" spans="1:7" x14ac:dyDescent="0.45">
      <c r="A488" t="s">
        <v>983</v>
      </c>
      <c r="B488" t="s">
        <v>264</v>
      </c>
      <c r="C488" s="7">
        <v>5</v>
      </c>
      <c r="D488" t="s">
        <v>984</v>
      </c>
      <c r="G488" s="11" t="str">
        <f t="shared" si="7"/>
        <v>positive</v>
      </c>
    </row>
    <row r="489" spans="1:7" x14ac:dyDescent="0.45">
      <c r="A489" t="s">
        <v>985</v>
      </c>
      <c r="B489" t="s">
        <v>7</v>
      </c>
      <c r="C489" s="7">
        <v>5</v>
      </c>
      <c r="D489" t="s">
        <v>986</v>
      </c>
      <c r="G489" s="11" t="str">
        <f t="shared" si="7"/>
        <v>positive</v>
      </c>
    </row>
    <row r="490" spans="1:7" x14ac:dyDescent="0.45">
      <c r="A490" t="s">
        <v>987</v>
      </c>
      <c r="B490" t="s">
        <v>31</v>
      </c>
      <c r="C490" s="7">
        <v>5</v>
      </c>
      <c r="D490" t="s">
        <v>988</v>
      </c>
      <c r="G490" s="11" t="str">
        <f t="shared" si="7"/>
        <v>positive</v>
      </c>
    </row>
    <row r="491" spans="1:7" x14ac:dyDescent="0.45">
      <c r="A491" t="s">
        <v>989</v>
      </c>
      <c r="B491" t="s">
        <v>781</v>
      </c>
      <c r="C491" s="7">
        <v>5</v>
      </c>
      <c r="D491" t="s">
        <v>990</v>
      </c>
      <c r="G491" s="11" t="str">
        <f t="shared" si="7"/>
        <v>positive</v>
      </c>
    </row>
    <row r="492" spans="1:7" x14ac:dyDescent="0.45">
      <c r="A492" t="s">
        <v>991</v>
      </c>
      <c r="B492" t="s">
        <v>31</v>
      </c>
      <c r="C492" s="7">
        <v>4</v>
      </c>
      <c r="D492" t="s">
        <v>992</v>
      </c>
      <c r="G492" s="11" t="str">
        <f t="shared" si="7"/>
        <v>positive</v>
      </c>
    </row>
    <row r="493" spans="1:7" x14ac:dyDescent="0.45">
      <c r="A493" t="s">
        <v>993</v>
      </c>
      <c r="B493" t="s">
        <v>200</v>
      </c>
      <c r="C493" s="7">
        <v>5</v>
      </c>
      <c r="D493" t="s">
        <v>994</v>
      </c>
      <c r="G493" s="11" t="str">
        <f t="shared" si="7"/>
        <v>positive</v>
      </c>
    </row>
    <row r="494" spans="1:7" x14ac:dyDescent="0.45">
      <c r="A494" t="s">
        <v>995</v>
      </c>
      <c r="B494" t="s">
        <v>129</v>
      </c>
      <c r="C494" s="7">
        <v>5</v>
      </c>
      <c r="D494" t="s">
        <v>996</v>
      </c>
      <c r="G494" s="11" t="str">
        <f t="shared" si="7"/>
        <v>positive</v>
      </c>
    </row>
    <row r="495" spans="1:7" x14ac:dyDescent="0.45">
      <c r="A495" t="s">
        <v>997</v>
      </c>
      <c r="B495" t="s">
        <v>23</v>
      </c>
      <c r="C495" s="7">
        <v>5</v>
      </c>
      <c r="D495" t="s">
        <v>998</v>
      </c>
      <c r="G495" s="11" t="str">
        <f t="shared" si="7"/>
        <v>positive</v>
      </c>
    </row>
    <row r="496" spans="1:7" x14ac:dyDescent="0.45">
      <c r="A496" t="s">
        <v>999</v>
      </c>
      <c r="B496" t="s">
        <v>1000</v>
      </c>
      <c r="C496" s="7">
        <v>5</v>
      </c>
      <c r="D496" t="s">
        <v>1001</v>
      </c>
      <c r="G496" s="11" t="str">
        <f t="shared" si="7"/>
        <v>positive</v>
      </c>
    </row>
    <row r="497" spans="1:7" x14ac:dyDescent="0.45">
      <c r="A497" t="s">
        <v>1002</v>
      </c>
      <c r="B497" t="s">
        <v>23</v>
      </c>
      <c r="C497" s="7">
        <v>5</v>
      </c>
      <c r="D497" t="s">
        <v>1003</v>
      </c>
      <c r="G497" s="11" t="str">
        <f t="shared" si="7"/>
        <v>positive</v>
      </c>
    </row>
    <row r="498" spans="1:7" x14ac:dyDescent="0.45">
      <c r="A498" t="s">
        <v>1004</v>
      </c>
      <c r="B498" t="s">
        <v>23</v>
      </c>
      <c r="C498" s="7">
        <v>5</v>
      </c>
      <c r="D498" t="s">
        <v>1005</v>
      </c>
      <c r="G498" s="11" t="str">
        <f t="shared" si="7"/>
        <v>positive</v>
      </c>
    </row>
    <row r="499" spans="1:7" x14ac:dyDescent="0.45">
      <c r="A499" t="s">
        <v>1006</v>
      </c>
      <c r="B499" t="s">
        <v>57</v>
      </c>
      <c r="C499" s="7">
        <v>4</v>
      </c>
      <c r="D499" t="s">
        <v>1007</v>
      </c>
      <c r="G499" s="11" t="str">
        <f t="shared" si="7"/>
        <v>positive</v>
      </c>
    </row>
    <row r="500" spans="1:7" x14ac:dyDescent="0.45">
      <c r="A500" t="s">
        <v>1008</v>
      </c>
      <c r="B500" t="s">
        <v>290</v>
      </c>
      <c r="C500" s="7">
        <v>4</v>
      </c>
      <c r="D500" t="s">
        <v>1009</v>
      </c>
      <c r="G500" s="11" t="str">
        <f t="shared" si="7"/>
        <v>positive</v>
      </c>
    </row>
    <row r="501" spans="1:7" x14ac:dyDescent="0.45">
      <c r="A501" t="s">
        <v>1010</v>
      </c>
      <c r="B501" t="s">
        <v>143</v>
      </c>
      <c r="C501" s="7">
        <v>3</v>
      </c>
      <c r="D501" t="s">
        <v>1011</v>
      </c>
      <c r="G501" s="11" t="str">
        <f t="shared" si="7"/>
        <v>neutral</v>
      </c>
    </row>
    <row r="502" spans="1:7" x14ac:dyDescent="0.45">
      <c r="A502" t="s">
        <v>1012</v>
      </c>
      <c r="B502" t="s">
        <v>129</v>
      </c>
      <c r="C502" s="7">
        <v>5</v>
      </c>
      <c r="D502" t="s">
        <v>1013</v>
      </c>
      <c r="G502" s="11" t="str">
        <f t="shared" si="7"/>
        <v>positive</v>
      </c>
    </row>
    <row r="503" spans="1:7" x14ac:dyDescent="0.45">
      <c r="A503" t="s">
        <v>1014</v>
      </c>
      <c r="B503" t="s">
        <v>26</v>
      </c>
      <c r="C503" s="7">
        <v>5</v>
      </c>
      <c r="D503" t="s">
        <v>1015</v>
      </c>
      <c r="G503" s="11" t="str">
        <f t="shared" si="7"/>
        <v>positive</v>
      </c>
    </row>
    <row r="504" spans="1:7" x14ac:dyDescent="0.45">
      <c r="A504" t="s">
        <v>1016</v>
      </c>
      <c r="B504" t="s">
        <v>129</v>
      </c>
      <c r="C504" s="7">
        <v>5</v>
      </c>
      <c r="D504" t="s">
        <v>1017</v>
      </c>
      <c r="G504" s="11" t="str">
        <f t="shared" si="7"/>
        <v>positive</v>
      </c>
    </row>
    <row r="505" spans="1:7" x14ac:dyDescent="0.45">
      <c r="A505" t="s">
        <v>1018</v>
      </c>
      <c r="B505" t="s">
        <v>23</v>
      </c>
      <c r="C505" s="7">
        <v>5</v>
      </c>
      <c r="D505" t="s">
        <v>1019</v>
      </c>
      <c r="G505" s="11" t="str">
        <f t="shared" si="7"/>
        <v>positive</v>
      </c>
    </row>
    <row r="506" spans="1:7" x14ac:dyDescent="0.45">
      <c r="A506" t="s">
        <v>1020</v>
      </c>
      <c r="B506" t="s">
        <v>290</v>
      </c>
      <c r="C506" s="7">
        <v>5</v>
      </c>
      <c r="D506" t="s">
        <v>1021</v>
      </c>
      <c r="G506" s="11" t="str">
        <f t="shared" si="7"/>
        <v>positive</v>
      </c>
    </row>
    <row r="507" spans="1:7" x14ac:dyDescent="0.45">
      <c r="A507" t="s">
        <v>1022</v>
      </c>
      <c r="B507" t="s">
        <v>26</v>
      </c>
      <c r="C507" s="7">
        <v>5</v>
      </c>
      <c r="D507" t="s">
        <v>1023</v>
      </c>
      <c r="G507" s="11" t="str">
        <f t="shared" si="7"/>
        <v>positive</v>
      </c>
    </row>
    <row r="508" spans="1:7" x14ac:dyDescent="0.45">
      <c r="A508" t="s">
        <v>1024</v>
      </c>
      <c r="B508" t="s">
        <v>26</v>
      </c>
      <c r="C508" s="7">
        <v>5</v>
      </c>
      <c r="D508" t="s">
        <v>1025</v>
      </c>
      <c r="G508" s="11" t="str">
        <f t="shared" si="7"/>
        <v>positive</v>
      </c>
    </row>
    <row r="509" spans="1:7" x14ac:dyDescent="0.45">
      <c r="A509" t="s">
        <v>1026</v>
      </c>
      <c r="B509" t="s">
        <v>7</v>
      </c>
      <c r="C509" s="7">
        <v>5</v>
      </c>
      <c r="D509" t="s">
        <v>1027</v>
      </c>
      <c r="G509" s="11" t="str">
        <f t="shared" si="7"/>
        <v>positive</v>
      </c>
    </row>
    <row r="510" spans="1:7" x14ac:dyDescent="0.45">
      <c r="A510" t="s">
        <v>1028</v>
      </c>
      <c r="B510" t="s">
        <v>13</v>
      </c>
      <c r="C510" s="7">
        <v>4</v>
      </c>
      <c r="D510" t="s">
        <v>1029</v>
      </c>
      <c r="G510" s="11" t="str">
        <f t="shared" si="7"/>
        <v>positive</v>
      </c>
    </row>
    <row r="511" spans="1:7" x14ac:dyDescent="0.45">
      <c r="A511" t="s">
        <v>780</v>
      </c>
      <c r="B511" t="s">
        <v>290</v>
      </c>
      <c r="C511" s="7">
        <v>3</v>
      </c>
      <c r="D511" t="s">
        <v>1030</v>
      </c>
      <c r="G511" s="11" t="str">
        <f t="shared" si="7"/>
        <v>neutral</v>
      </c>
    </row>
    <row r="512" spans="1:7" x14ac:dyDescent="0.45">
      <c r="A512" t="s">
        <v>1031</v>
      </c>
      <c r="B512" t="s">
        <v>264</v>
      </c>
      <c r="C512" s="7">
        <v>5</v>
      </c>
      <c r="D512" t="s">
        <v>1032</v>
      </c>
      <c r="G512" s="11" t="str">
        <f t="shared" si="7"/>
        <v>positive</v>
      </c>
    </row>
    <row r="513" spans="1:7" x14ac:dyDescent="0.45">
      <c r="A513" t="s">
        <v>9</v>
      </c>
      <c r="B513" t="s">
        <v>10</v>
      </c>
      <c r="C513" s="7">
        <v>5</v>
      </c>
      <c r="D513" t="s">
        <v>1033</v>
      </c>
      <c r="G513" s="11" t="str">
        <f t="shared" si="7"/>
        <v>positive</v>
      </c>
    </row>
    <row r="514" spans="1:7" x14ac:dyDescent="0.45">
      <c r="A514" t="s">
        <v>1034</v>
      </c>
      <c r="B514" t="s">
        <v>57</v>
      </c>
      <c r="C514" s="7">
        <v>4</v>
      </c>
      <c r="D514" t="s">
        <v>1035</v>
      </c>
      <c r="G514" s="11" t="str">
        <f t="shared" si="7"/>
        <v>positive</v>
      </c>
    </row>
    <row r="515" spans="1:7" x14ac:dyDescent="0.45">
      <c r="A515" t="s">
        <v>1036</v>
      </c>
      <c r="B515" t="s">
        <v>57</v>
      </c>
      <c r="C515" s="7">
        <v>5</v>
      </c>
      <c r="D515" t="s">
        <v>1037</v>
      </c>
      <c r="G515" s="11" t="str">
        <f t="shared" ref="G515:G531" si="8">IF(C515&gt;=4,"positive", IF(C515&gt;=3,"neutral","negative"))</f>
        <v>positive</v>
      </c>
    </row>
    <row r="516" spans="1:7" x14ac:dyDescent="0.45">
      <c r="A516" t="s">
        <v>1038</v>
      </c>
      <c r="B516" t="s">
        <v>57</v>
      </c>
      <c r="C516" s="7">
        <v>4</v>
      </c>
      <c r="D516" t="s">
        <v>1039</v>
      </c>
      <c r="G516" s="11" t="str">
        <f t="shared" si="8"/>
        <v>positive</v>
      </c>
    </row>
    <row r="517" spans="1:7" x14ac:dyDescent="0.45">
      <c r="A517" t="s">
        <v>1040</v>
      </c>
      <c r="B517" t="s">
        <v>13</v>
      </c>
      <c r="C517" s="7">
        <v>4</v>
      </c>
      <c r="D517" t="s">
        <v>1041</v>
      </c>
      <c r="G517" s="11" t="str">
        <f t="shared" si="8"/>
        <v>positive</v>
      </c>
    </row>
    <row r="518" spans="1:7" x14ac:dyDescent="0.45">
      <c r="A518" t="s">
        <v>1042</v>
      </c>
      <c r="B518" t="s">
        <v>200</v>
      </c>
      <c r="C518" s="7">
        <v>5</v>
      </c>
      <c r="D518" t="s">
        <v>1043</v>
      </c>
      <c r="G518" s="11" t="str">
        <f t="shared" si="8"/>
        <v>positive</v>
      </c>
    </row>
    <row r="519" spans="1:7" x14ac:dyDescent="0.45">
      <c r="A519" t="s">
        <v>1044</v>
      </c>
      <c r="B519" t="s">
        <v>13</v>
      </c>
      <c r="C519" s="7">
        <v>5</v>
      </c>
      <c r="D519" t="s">
        <v>1045</v>
      </c>
      <c r="G519" s="11" t="str">
        <f t="shared" si="8"/>
        <v>positive</v>
      </c>
    </row>
    <row r="520" spans="1:7" x14ac:dyDescent="0.45">
      <c r="A520" t="s">
        <v>1046</v>
      </c>
      <c r="B520" t="s">
        <v>13</v>
      </c>
      <c r="C520" s="7">
        <v>4</v>
      </c>
      <c r="D520" t="s">
        <v>1047</v>
      </c>
      <c r="G520" s="11" t="str">
        <f t="shared" si="8"/>
        <v>positive</v>
      </c>
    </row>
    <row r="521" spans="1:7" x14ac:dyDescent="0.45">
      <c r="A521" t="s">
        <v>1048</v>
      </c>
      <c r="B521" t="s">
        <v>10</v>
      </c>
      <c r="C521" s="7">
        <v>5</v>
      </c>
      <c r="D521" t="s">
        <v>1049</v>
      </c>
      <c r="G521" s="11" t="str">
        <f t="shared" si="8"/>
        <v>positive</v>
      </c>
    </row>
    <row r="522" spans="1:7" x14ac:dyDescent="0.45">
      <c r="A522" t="s">
        <v>9</v>
      </c>
      <c r="B522" t="s">
        <v>264</v>
      </c>
      <c r="C522" s="7">
        <v>5</v>
      </c>
      <c r="D522" t="s">
        <v>1032</v>
      </c>
      <c r="G522" s="11" t="str">
        <f t="shared" si="8"/>
        <v>positive</v>
      </c>
    </row>
    <row r="523" spans="1:7" x14ac:dyDescent="0.45">
      <c r="A523" t="s">
        <v>1034</v>
      </c>
      <c r="B523" t="s">
        <v>10</v>
      </c>
      <c r="C523" s="7">
        <v>5</v>
      </c>
      <c r="D523" t="s">
        <v>1033</v>
      </c>
      <c r="G523" s="11" t="str">
        <f t="shared" si="8"/>
        <v>positive</v>
      </c>
    </row>
    <row r="524" spans="1:7" x14ac:dyDescent="0.45">
      <c r="A524" t="s">
        <v>9</v>
      </c>
      <c r="B524" t="s">
        <v>57</v>
      </c>
      <c r="C524" s="7">
        <v>5</v>
      </c>
      <c r="D524" t="s">
        <v>1035</v>
      </c>
      <c r="G524" s="11" t="str">
        <f t="shared" si="8"/>
        <v>positive</v>
      </c>
    </row>
    <row r="525" spans="1:7" x14ac:dyDescent="0.45">
      <c r="A525" t="s">
        <v>1036</v>
      </c>
      <c r="B525" t="s">
        <v>57</v>
      </c>
      <c r="C525" s="7">
        <v>4</v>
      </c>
      <c r="D525" t="s">
        <v>1037</v>
      </c>
      <c r="G525" s="11" t="str">
        <f t="shared" si="8"/>
        <v>positive</v>
      </c>
    </row>
    <row r="526" spans="1:7" x14ac:dyDescent="0.45">
      <c r="A526" t="s">
        <v>1034</v>
      </c>
      <c r="B526" t="s">
        <v>57</v>
      </c>
      <c r="C526" s="7">
        <v>5</v>
      </c>
      <c r="D526" t="s">
        <v>1039</v>
      </c>
      <c r="G526" s="11" t="str">
        <f t="shared" si="8"/>
        <v>positive</v>
      </c>
    </row>
    <row r="527" spans="1:7" x14ac:dyDescent="0.45">
      <c r="A527" t="s">
        <v>1038</v>
      </c>
      <c r="B527" t="s">
        <v>57</v>
      </c>
      <c r="C527" s="7">
        <v>4</v>
      </c>
      <c r="D527" t="s">
        <v>1035</v>
      </c>
      <c r="G527" s="11" t="str">
        <f t="shared" si="8"/>
        <v>positive</v>
      </c>
    </row>
    <row r="528" spans="1:7" x14ac:dyDescent="0.45">
      <c r="A528" t="s">
        <v>1040</v>
      </c>
      <c r="B528" t="s">
        <v>13</v>
      </c>
      <c r="C528" s="7">
        <v>4</v>
      </c>
      <c r="D528" t="s">
        <v>1041</v>
      </c>
      <c r="G528" s="11" t="str">
        <f t="shared" si="8"/>
        <v>positive</v>
      </c>
    </row>
    <row r="529" spans="1:7" x14ac:dyDescent="0.45">
      <c r="A529" t="s">
        <v>1042</v>
      </c>
      <c r="B529" t="s">
        <v>200</v>
      </c>
      <c r="C529" s="7">
        <v>5</v>
      </c>
      <c r="D529" t="s">
        <v>1043</v>
      </c>
      <c r="G529" s="11" t="str">
        <f t="shared" si="8"/>
        <v>positive</v>
      </c>
    </row>
    <row r="530" spans="1:7" x14ac:dyDescent="0.45">
      <c r="A530" t="s">
        <v>1038</v>
      </c>
      <c r="B530" t="s">
        <v>13</v>
      </c>
      <c r="C530" s="7">
        <v>4</v>
      </c>
      <c r="D530" t="s">
        <v>1045</v>
      </c>
      <c r="G530" s="11" t="str">
        <f t="shared" si="8"/>
        <v>positive</v>
      </c>
    </row>
    <row r="531" spans="1:7" x14ac:dyDescent="0.45">
      <c r="A531" t="s">
        <v>1044</v>
      </c>
      <c r="B531" t="s">
        <v>13</v>
      </c>
      <c r="C531" s="7">
        <v>4</v>
      </c>
      <c r="D531" t="s">
        <v>1039</v>
      </c>
      <c r="G531" s="11" t="str">
        <f t="shared" si="8"/>
        <v>positive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4DA4B-CCF7-4B69-8F87-05FD39B4345D}">
  <dimension ref="A1:I535"/>
  <sheetViews>
    <sheetView topLeftCell="A477" workbookViewId="0">
      <selection activeCell="K10" sqref="K10"/>
    </sheetView>
  </sheetViews>
  <sheetFormatPr defaultRowHeight="16.5" x14ac:dyDescent="0.45"/>
  <cols>
    <col min="1" max="1" width="19.5" customWidth="1"/>
    <col min="2" max="2" width="14.08203125" style="7" customWidth="1"/>
    <col min="6" max="6" width="12.83203125" customWidth="1"/>
    <col min="7" max="7" width="11" customWidth="1"/>
    <col min="8" max="8" width="17.5" customWidth="1"/>
    <col min="9" max="9" width="13" customWidth="1"/>
  </cols>
  <sheetData>
    <row r="1" spans="1:9" x14ac:dyDescent="0.45">
      <c r="A1" s="1" t="s">
        <v>3</v>
      </c>
      <c r="B1" s="2" t="s">
        <v>1050</v>
      </c>
      <c r="C1" s="15" t="s">
        <v>1097</v>
      </c>
      <c r="D1" s="15" t="s">
        <v>1098</v>
      </c>
      <c r="E1" s="15" t="s">
        <v>1099</v>
      </c>
      <c r="F1" s="15" t="s">
        <v>1100</v>
      </c>
      <c r="G1" s="15" t="s">
        <v>1101</v>
      </c>
      <c r="H1" s="15" t="s">
        <v>1102</v>
      </c>
      <c r="I1" s="3"/>
    </row>
    <row r="2" spans="1:9" x14ac:dyDescent="0.45">
      <c r="A2" t="s">
        <v>8</v>
      </c>
      <c r="B2" s="6">
        <f>LEN(A2)-LEN(SUBSTITUTE(A2," ",""))+1</f>
        <v>53</v>
      </c>
      <c r="C2" s="4" cm="1">
        <f t="array" ref="C2">SUM((MMULT(ISNUMBER(SEARCH(TRANSPOSE(category!$A$2:$A$11), A2))*1, ROW(category!$A$2:$A$11)^0)&gt;0)*1)</f>
        <v>1</v>
      </c>
      <c r="D2" s="4" cm="1">
        <f t="array" ref="D2">SUM((MMULT(ISNUMBER(SEARCH(TRANSPOSE(category!$B$2:$B$25), A2))*1, ROW(category!$B$2:$B$25)^0)&gt;0)*1)</f>
        <v>1</v>
      </c>
      <c r="E2" s="4" cm="1">
        <f t="array" ref="E2">SUM((MMULT(ISNUMBER(SEARCH(TRANSPOSE(category!$C$2:$C$4), A2))*1, ROW(category!$C$2:$C$4)^0)&gt;0)*1)</f>
        <v>0</v>
      </c>
      <c r="F2" s="4" cm="1">
        <f t="array" ref="F2">SUM((MMULT(ISNUMBER(SEARCH(TRANSPOSE(category!$D$2:$D$10), A2))*1, ROW(category!$D$2:$D$10)^0)&gt;0)*1)</f>
        <v>0</v>
      </c>
      <c r="G2" s="4" cm="1">
        <f t="array" ref="G2">SUM((MMULT(ISNUMBER(SEARCH(TRANSPOSE(category!$E$2:$E$8), A2))*1, ROW(category!$E$2:$E$8)^0)&gt;0)*1)</f>
        <v>0</v>
      </c>
      <c r="H2" s="4" cm="1">
        <f t="array" ref="H2">SUM((MMULT(ISNUMBER(SEARCH(TRANSPOSE(category!$F$2:$F$9), A2))*1, ROW(category!$F$2:$F$9)^0)&gt;0)*1)</f>
        <v>0</v>
      </c>
    </row>
    <row r="3" spans="1:9" x14ac:dyDescent="0.45">
      <c r="A3" t="s">
        <v>11</v>
      </c>
      <c r="B3" s="6">
        <f t="shared" ref="B3:B66" si="0">LEN(A3)-LEN(SUBSTITUTE(A3," ",""))+1</f>
        <v>148</v>
      </c>
      <c r="C3" s="4" cm="1">
        <f t="array" ref="C3">SUM((MMULT(ISNUMBER(SEARCH(TRANSPOSE(category!$A$2:$A$11), A3))*1, ROW(category!$A$2:$A$11)^0)&gt;0)*1)</f>
        <v>1</v>
      </c>
      <c r="D3" s="4" cm="1">
        <f t="array" ref="D3">SUM((MMULT(ISNUMBER(SEARCH(TRANSPOSE(category!$B$2:$B$25), A3))*1, ROW(category!$B$2:$B$25)^0)&gt;0)*1)</f>
        <v>1</v>
      </c>
      <c r="E3" s="4" cm="1">
        <f t="array" ref="E3">SUM((MMULT(ISNUMBER(SEARCH(TRANSPOSE(category!$C$2:$C$4), A3))*1, ROW(category!$C$2:$C$4)^0)&gt;0)*1)</f>
        <v>0</v>
      </c>
      <c r="F3" s="4" cm="1">
        <f t="array" ref="F3">SUM((MMULT(ISNUMBER(SEARCH(TRANSPOSE(category!$D$2:$D$10), A3))*1, ROW(category!$D$2:$D$10)^0)&gt;0)*1)</f>
        <v>1</v>
      </c>
      <c r="G3" s="4" cm="1">
        <f t="array" ref="G3">SUM((MMULT(ISNUMBER(SEARCH(TRANSPOSE(category!$E$2:$E$8), A3))*1, ROW(category!$E$2:$E$8)^0)&gt;0)*1)</f>
        <v>0</v>
      </c>
      <c r="H3" s="4" cm="1">
        <f t="array" ref="H3">SUM((MMULT(ISNUMBER(SEARCH(TRANSPOSE(category!$F$2:$F$9), A3))*1, ROW(category!$F$2:$F$9)^0)&gt;0)*1)</f>
        <v>0</v>
      </c>
    </row>
    <row r="4" spans="1:9" x14ac:dyDescent="0.45">
      <c r="A4" t="s">
        <v>14</v>
      </c>
      <c r="B4" s="6">
        <f t="shared" si="0"/>
        <v>43</v>
      </c>
      <c r="C4" s="4" cm="1">
        <f t="array" ref="C4">SUM((MMULT(ISNUMBER(SEARCH(TRANSPOSE(category!$A$2:$A$11), A4))*1, ROW(category!$A$2:$A$11)^0)&gt;0)*1)</f>
        <v>0</v>
      </c>
      <c r="D4" s="4" cm="1">
        <f t="array" ref="D4">SUM((MMULT(ISNUMBER(SEARCH(TRANSPOSE(category!$B$2:$B$25), A4))*1, ROW(category!$B$2:$B$25)^0)&gt;0)*1)</f>
        <v>1</v>
      </c>
      <c r="E4" s="4" cm="1">
        <f t="array" ref="E4">SUM((MMULT(ISNUMBER(SEARCH(TRANSPOSE(category!$C$2:$C$4), A4))*1, ROW(category!$C$2:$C$4)^0)&gt;0)*1)</f>
        <v>0</v>
      </c>
      <c r="F4" s="4" cm="1">
        <f t="array" ref="F4">SUM((MMULT(ISNUMBER(SEARCH(TRANSPOSE(category!$D$2:$D$10), A4))*1, ROW(category!$D$2:$D$10)^0)&gt;0)*1)</f>
        <v>0</v>
      </c>
      <c r="G4" s="4" cm="1">
        <f t="array" ref="G4">SUM((MMULT(ISNUMBER(SEARCH(TRANSPOSE(category!$E$2:$E$8), A4))*1, ROW(category!$E$2:$E$8)^0)&gt;0)*1)</f>
        <v>0</v>
      </c>
      <c r="H4" s="4" cm="1">
        <f t="array" ref="H4">SUM((MMULT(ISNUMBER(SEARCH(TRANSPOSE(category!$F$2:$F$9), A4))*1, ROW(category!$F$2:$F$9)^0)&gt;0)*1)</f>
        <v>1</v>
      </c>
    </row>
    <row r="5" spans="1:9" x14ac:dyDescent="0.45">
      <c r="A5" t="s">
        <v>16</v>
      </c>
      <c r="B5" s="6">
        <f t="shared" si="0"/>
        <v>33</v>
      </c>
      <c r="C5" s="4" cm="1">
        <f t="array" ref="C5">SUM((MMULT(ISNUMBER(SEARCH(TRANSPOSE(category!$A$2:$A$11), A5))*1, ROW(category!$A$2:$A$11)^0)&gt;0)*1)</f>
        <v>1</v>
      </c>
      <c r="D5" s="4" cm="1">
        <f t="array" ref="D5">SUM((MMULT(ISNUMBER(SEARCH(TRANSPOSE(category!$B$2:$B$25), A5))*1, ROW(category!$B$2:$B$25)^0)&gt;0)*1)</f>
        <v>1</v>
      </c>
      <c r="E5" s="4" cm="1">
        <f t="array" ref="E5">SUM((MMULT(ISNUMBER(SEARCH(TRANSPOSE(category!$C$2:$C$4), A5))*1, ROW(category!$C$2:$C$4)^0)&gt;0)*1)</f>
        <v>0</v>
      </c>
      <c r="F5" s="4" cm="1">
        <f t="array" ref="F5">SUM((MMULT(ISNUMBER(SEARCH(TRANSPOSE(category!$D$2:$D$10), A5))*1, ROW(category!$D$2:$D$10)^0)&gt;0)*1)</f>
        <v>1</v>
      </c>
      <c r="G5" s="4" cm="1">
        <f t="array" ref="G5">SUM((MMULT(ISNUMBER(SEARCH(TRANSPOSE(category!$E$2:$E$8), A5))*1, ROW(category!$E$2:$E$8)^0)&gt;0)*1)</f>
        <v>0</v>
      </c>
      <c r="H5" s="4" cm="1">
        <f t="array" ref="H5">SUM((MMULT(ISNUMBER(SEARCH(TRANSPOSE(category!$F$2:$F$9), A5))*1, ROW(category!$F$2:$F$9)^0)&gt;0)*1)</f>
        <v>0</v>
      </c>
    </row>
    <row r="6" spans="1:9" x14ac:dyDescent="0.45">
      <c r="A6" t="s">
        <v>18</v>
      </c>
      <c r="B6" s="6">
        <f t="shared" si="0"/>
        <v>37</v>
      </c>
      <c r="C6" s="4" cm="1">
        <f t="array" ref="C6">SUM((MMULT(ISNUMBER(SEARCH(TRANSPOSE(category!$A$2:$A$11), A6))*1, ROW(category!$A$2:$A$11)^0)&gt;0)*1)</f>
        <v>1</v>
      </c>
      <c r="D6" s="4" cm="1">
        <f t="array" ref="D6">SUM((MMULT(ISNUMBER(SEARCH(TRANSPOSE(category!$B$2:$B$25), A6))*1, ROW(category!$B$2:$B$25)^0)&gt;0)*1)</f>
        <v>1</v>
      </c>
      <c r="E6" s="4" cm="1">
        <f t="array" ref="E6">SUM((MMULT(ISNUMBER(SEARCH(TRANSPOSE(category!$C$2:$C$4), A6))*1, ROW(category!$C$2:$C$4)^0)&gt;0)*1)</f>
        <v>0</v>
      </c>
      <c r="F6" s="4" cm="1">
        <f t="array" ref="F6">SUM((MMULT(ISNUMBER(SEARCH(TRANSPOSE(category!$D$2:$D$10), A6))*1, ROW(category!$D$2:$D$10)^0)&gt;0)*1)</f>
        <v>1</v>
      </c>
      <c r="G6" s="4" cm="1">
        <f t="array" ref="G6">SUM((MMULT(ISNUMBER(SEARCH(TRANSPOSE(category!$E$2:$E$8), A6))*1, ROW(category!$E$2:$E$8)^0)&gt;0)*1)</f>
        <v>0</v>
      </c>
      <c r="H6" s="4" cm="1">
        <f t="array" ref="H6">SUM((MMULT(ISNUMBER(SEARCH(TRANSPOSE(category!$F$2:$F$9), A6))*1, ROW(category!$F$2:$F$9)^0)&gt;0)*1)</f>
        <v>0</v>
      </c>
    </row>
    <row r="7" spans="1:9" x14ac:dyDescent="0.45">
      <c r="A7" t="s">
        <v>21</v>
      </c>
      <c r="B7" s="6">
        <f t="shared" si="0"/>
        <v>34</v>
      </c>
      <c r="C7" s="4" cm="1">
        <f t="array" ref="C7">SUM((MMULT(ISNUMBER(SEARCH(TRANSPOSE(category!$A$2:$A$11), A7))*1, ROW(category!$A$2:$A$11)^0)&gt;0)*1)</f>
        <v>1</v>
      </c>
      <c r="D7" s="4" cm="1">
        <f t="array" ref="D7">SUM((MMULT(ISNUMBER(SEARCH(TRANSPOSE(category!$B$2:$B$25), A7))*1, ROW(category!$B$2:$B$25)^0)&gt;0)*1)</f>
        <v>1</v>
      </c>
      <c r="E7" s="4" cm="1">
        <f t="array" ref="E7">SUM((MMULT(ISNUMBER(SEARCH(TRANSPOSE(category!$C$2:$C$4), A7))*1, ROW(category!$C$2:$C$4)^0)&gt;0)*1)</f>
        <v>0</v>
      </c>
      <c r="F7" s="4" cm="1">
        <f t="array" ref="F7">SUM((MMULT(ISNUMBER(SEARCH(TRANSPOSE(category!$D$2:$D$10), A7))*1, ROW(category!$D$2:$D$10)^0)&gt;0)*1)</f>
        <v>1</v>
      </c>
      <c r="G7" s="4" cm="1">
        <f t="array" ref="G7">SUM((MMULT(ISNUMBER(SEARCH(TRANSPOSE(category!$E$2:$E$8), A7))*1, ROW(category!$E$2:$E$8)^0)&gt;0)*1)</f>
        <v>0</v>
      </c>
      <c r="H7" s="4" cm="1">
        <f t="array" ref="H7">SUM((MMULT(ISNUMBER(SEARCH(TRANSPOSE(category!$F$2:$F$9), A7))*1, ROW(category!$F$2:$F$9)^0)&gt;0)*1)</f>
        <v>0</v>
      </c>
    </row>
    <row r="8" spans="1:9" x14ac:dyDescent="0.45">
      <c r="A8" t="s">
        <v>24</v>
      </c>
      <c r="B8" s="6">
        <f t="shared" si="0"/>
        <v>48</v>
      </c>
      <c r="C8" s="4" cm="1">
        <f t="array" ref="C8">SUM((MMULT(ISNUMBER(SEARCH(TRANSPOSE(category!$A$2:$A$11), A8))*1, ROW(category!$A$2:$A$11)^0)&gt;0)*1)</f>
        <v>0</v>
      </c>
      <c r="D8" s="4" cm="1">
        <f t="array" ref="D8">SUM((MMULT(ISNUMBER(SEARCH(TRANSPOSE(category!$B$2:$B$25), A8))*1, ROW(category!$B$2:$B$25)^0)&gt;0)*1)</f>
        <v>1</v>
      </c>
      <c r="E8" s="4" cm="1">
        <f t="array" ref="E8">SUM((MMULT(ISNUMBER(SEARCH(TRANSPOSE(category!$C$2:$C$4), A8))*1, ROW(category!$C$2:$C$4)^0)&gt;0)*1)</f>
        <v>1</v>
      </c>
      <c r="F8" s="4" cm="1">
        <f t="array" ref="F8">SUM((MMULT(ISNUMBER(SEARCH(TRANSPOSE(category!$D$2:$D$10), A8))*1, ROW(category!$D$2:$D$10)^0)&gt;0)*1)</f>
        <v>0</v>
      </c>
      <c r="G8" s="4" cm="1">
        <f t="array" ref="G8">SUM((MMULT(ISNUMBER(SEARCH(TRANSPOSE(category!$E$2:$E$8), A8))*1, ROW(category!$E$2:$E$8)^0)&gt;0)*1)</f>
        <v>0</v>
      </c>
      <c r="H8" s="4" cm="1">
        <f t="array" ref="H8">SUM((MMULT(ISNUMBER(SEARCH(TRANSPOSE(category!$F$2:$F$9), A8))*1, ROW(category!$F$2:$F$9)^0)&gt;0)*1)</f>
        <v>0</v>
      </c>
    </row>
    <row r="9" spans="1:9" x14ac:dyDescent="0.45">
      <c r="A9" t="s">
        <v>27</v>
      </c>
      <c r="B9" s="6">
        <f t="shared" si="0"/>
        <v>52</v>
      </c>
      <c r="C9" s="4" cm="1">
        <f t="array" ref="C9">SUM((MMULT(ISNUMBER(SEARCH(TRANSPOSE(category!$A$2:$A$11), A9))*1, ROW(category!$A$2:$A$11)^0)&gt;0)*1)</f>
        <v>1</v>
      </c>
      <c r="D9" s="4" cm="1">
        <f t="array" ref="D9">SUM((MMULT(ISNUMBER(SEARCH(TRANSPOSE(category!$B$2:$B$25), A9))*1, ROW(category!$B$2:$B$25)^0)&gt;0)*1)</f>
        <v>1</v>
      </c>
      <c r="E9" s="4" cm="1">
        <f t="array" ref="E9">SUM((MMULT(ISNUMBER(SEARCH(TRANSPOSE(category!$C$2:$C$4), A9))*1, ROW(category!$C$2:$C$4)^0)&gt;0)*1)</f>
        <v>0</v>
      </c>
      <c r="F9" s="4" cm="1">
        <f t="array" ref="F9">SUM((MMULT(ISNUMBER(SEARCH(TRANSPOSE(category!$D$2:$D$10), A9))*1, ROW(category!$D$2:$D$10)^0)&gt;0)*1)</f>
        <v>1</v>
      </c>
      <c r="G9" s="4" cm="1">
        <f t="array" ref="G9">SUM((MMULT(ISNUMBER(SEARCH(TRANSPOSE(category!$E$2:$E$8), A9))*1, ROW(category!$E$2:$E$8)^0)&gt;0)*1)</f>
        <v>0</v>
      </c>
      <c r="H9" s="4" cm="1">
        <f t="array" ref="H9">SUM((MMULT(ISNUMBER(SEARCH(TRANSPOSE(category!$F$2:$F$9), A9))*1, ROW(category!$F$2:$F$9)^0)&gt;0)*1)</f>
        <v>0</v>
      </c>
    </row>
    <row r="10" spans="1:9" x14ac:dyDescent="0.45">
      <c r="A10" t="s">
        <v>29</v>
      </c>
      <c r="B10" s="6">
        <f t="shared" si="0"/>
        <v>163</v>
      </c>
      <c r="C10" s="4" cm="1">
        <f t="array" ref="C10">SUM((MMULT(ISNUMBER(SEARCH(TRANSPOSE(category!$A$2:$A$11), A10))*1, ROW(category!$A$2:$A$11)^0)&gt;0)*1)</f>
        <v>1</v>
      </c>
      <c r="D10" s="4" cm="1">
        <f t="array" ref="D10">SUM((MMULT(ISNUMBER(SEARCH(TRANSPOSE(category!$B$2:$B$25), A10))*1, ROW(category!$B$2:$B$25)^0)&gt;0)*1)</f>
        <v>1</v>
      </c>
      <c r="E10" s="4" cm="1">
        <f t="array" ref="E10">SUM((MMULT(ISNUMBER(SEARCH(TRANSPOSE(category!$C$2:$C$4), A10))*1, ROW(category!$C$2:$C$4)^0)&gt;0)*1)</f>
        <v>0</v>
      </c>
      <c r="F10" s="4" cm="1">
        <f t="array" ref="F10">SUM((MMULT(ISNUMBER(SEARCH(TRANSPOSE(category!$D$2:$D$10), A10))*1, ROW(category!$D$2:$D$10)^0)&gt;0)*1)</f>
        <v>1</v>
      </c>
      <c r="G10" s="4" cm="1">
        <f t="array" ref="G10">SUM((MMULT(ISNUMBER(SEARCH(TRANSPOSE(category!$E$2:$E$8), A10))*1, ROW(category!$E$2:$E$8)^0)&gt;0)*1)</f>
        <v>1</v>
      </c>
      <c r="H10" s="4" cm="1">
        <f t="array" ref="H10">SUM((MMULT(ISNUMBER(SEARCH(TRANSPOSE(category!$F$2:$F$9), A10))*1, ROW(category!$F$2:$F$9)^0)&gt;0)*1)</f>
        <v>0</v>
      </c>
    </row>
    <row r="11" spans="1:9" x14ac:dyDescent="0.45">
      <c r="A11" t="s">
        <v>32</v>
      </c>
      <c r="B11" s="6">
        <f t="shared" si="0"/>
        <v>59</v>
      </c>
      <c r="C11" s="4" cm="1">
        <f t="array" ref="C11">SUM((MMULT(ISNUMBER(SEARCH(TRANSPOSE(category!$A$2:$A$11), A11))*1, ROW(category!$A$2:$A$11)^0)&gt;0)*1)</f>
        <v>1</v>
      </c>
      <c r="D11" s="4" cm="1">
        <f t="array" ref="D11">SUM((MMULT(ISNUMBER(SEARCH(TRANSPOSE(category!$B$2:$B$25), A11))*1, ROW(category!$B$2:$B$25)^0)&gt;0)*1)</f>
        <v>1</v>
      </c>
      <c r="E11" s="4" cm="1">
        <f t="array" ref="E11">SUM((MMULT(ISNUMBER(SEARCH(TRANSPOSE(category!$C$2:$C$4), A11))*1, ROW(category!$C$2:$C$4)^0)&gt;0)*1)</f>
        <v>0</v>
      </c>
      <c r="F11" s="4" cm="1">
        <f t="array" ref="F11">SUM((MMULT(ISNUMBER(SEARCH(TRANSPOSE(category!$D$2:$D$10), A11))*1, ROW(category!$D$2:$D$10)^0)&gt;0)*1)</f>
        <v>1</v>
      </c>
      <c r="G11" s="4" cm="1">
        <f t="array" ref="G11">SUM((MMULT(ISNUMBER(SEARCH(TRANSPOSE(category!$E$2:$E$8), A11))*1, ROW(category!$E$2:$E$8)^0)&gt;0)*1)</f>
        <v>0</v>
      </c>
      <c r="H11" s="4" cm="1">
        <f t="array" ref="H11">SUM((MMULT(ISNUMBER(SEARCH(TRANSPOSE(category!$F$2:$F$9), A11))*1, ROW(category!$F$2:$F$9)^0)&gt;0)*1)</f>
        <v>0</v>
      </c>
    </row>
    <row r="12" spans="1:9" x14ac:dyDescent="0.45">
      <c r="A12" t="s">
        <v>34</v>
      </c>
      <c r="B12" s="6">
        <f t="shared" si="0"/>
        <v>38</v>
      </c>
      <c r="C12" s="4" cm="1">
        <f t="array" ref="C12">SUM((MMULT(ISNUMBER(SEARCH(TRANSPOSE(category!$A$2:$A$11), A12))*1, ROW(category!$A$2:$A$11)^0)&gt;0)*1)</f>
        <v>1</v>
      </c>
      <c r="D12" s="4" cm="1">
        <f t="array" ref="D12">SUM((MMULT(ISNUMBER(SEARCH(TRANSPOSE(category!$B$2:$B$25), A12))*1, ROW(category!$B$2:$B$25)^0)&gt;0)*1)</f>
        <v>1</v>
      </c>
      <c r="E12" s="4" cm="1">
        <f t="array" ref="E12">SUM((MMULT(ISNUMBER(SEARCH(TRANSPOSE(category!$C$2:$C$4), A12))*1, ROW(category!$C$2:$C$4)^0)&gt;0)*1)</f>
        <v>0</v>
      </c>
      <c r="F12" s="4" cm="1">
        <f t="array" ref="F12">SUM((MMULT(ISNUMBER(SEARCH(TRANSPOSE(category!$D$2:$D$10), A12))*1, ROW(category!$D$2:$D$10)^0)&gt;0)*1)</f>
        <v>1</v>
      </c>
      <c r="G12" s="4" cm="1">
        <f t="array" ref="G12">SUM((MMULT(ISNUMBER(SEARCH(TRANSPOSE(category!$E$2:$E$8), A12))*1, ROW(category!$E$2:$E$8)^0)&gt;0)*1)</f>
        <v>0</v>
      </c>
      <c r="H12" s="4" cm="1">
        <f t="array" ref="H12">SUM((MMULT(ISNUMBER(SEARCH(TRANSPOSE(category!$F$2:$F$9), A12))*1, ROW(category!$F$2:$F$9)^0)&gt;0)*1)</f>
        <v>0</v>
      </c>
    </row>
    <row r="13" spans="1:9" x14ac:dyDescent="0.45">
      <c r="A13" t="s">
        <v>36</v>
      </c>
      <c r="B13" s="6">
        <f t="shared" si="0"/>
        <v>100</v>
      </c>
      <c r="C13" s="4" cm="1">
        <f t="array" ref="C13">SUM((MMULT(ISNUMBER(SEARCH(TRANSPOSE(category!$A$2:$A$11), A13))*1, ROW(category!$A$2:$A$11)^0)&gt;0)*1)</f>
        <v>0</v>
      </c>
      <c r="D13" s="4" cm="1">
        <f t="array" ref="D13">SUM((MMULT(ISNUMBER(SEARCH(TRANSPOSE(category!$B$2:$B$25), A13))*1, ROW(category!$B$2:$B$25)^0)&gt;0)*1)</f>
        <v>1</v>
      </c>
      <c r="E13" s="4" cm="1">
        <f t="array" ref="E13">SUM((MMULT(ISNUMBER(SEARCH(TRANSPOSE(category!$C$2:$C$4), A13))*1, ROW(category!$C$2:$C$4)^0)&gt;0)*1)</f>
        <v>0</v>
      </c>
      <c r="F13" s="4" cm="1">
        <f t="array" ref="F13">SUM((MMULT(ISNUMBER(SEARCH(TRANSPOSE(category!$D$2:$D$10), A13))*1, ROW(category!$D$2:$D$10)^0)&gt;0)*1)</f>
        <v>1</v>
      </c>
      <c r="G13" s="4" cm="1">
        <f t="array" ref="G13">SUM((MMULT(ISNUMBER(SEARCH(TRANSPOSE(category!$E$2:$E$8), A13))*1, ROW(category!$E$2:$E$8)^0)&gt;0)*1)</f>
        <v>1</v>
      </c>
      <c r="H13" s="4" cm="1">
        <f t="array" ref="H13">SUM((MMULT(ISNUMBER(SEARCH(TRANSPOSE(category!$F$2:$F$9), A13))*1, ROW(category!$F$2:$F$9)^0)&gt;0)*1)</f>
        <v>0</v>
      </c>
    </row>
    <row r="14" spans="1:9" x14ac:dyDescent="0.45">
      <c r="A14" t="s">
        <v>39</v>
      </c>
      <c r="B14" s="6">
        <f t="shared" si="0"/>
        <v>30</v>
      </c>
      <c r="C14" s="4" cm="1">
        <f t="array" ref="C14">SUM((MMULT(ISNUMBER(SEARCH(TRANSPOSE(category!$A$2:$A$11), A14))*1, ROW(category!$A$2:$A$11)^0)&gt;0)*1)</f>
        <v>0</v>
      </c>
      <c r="D14" s="4" cm="1">
        <f t="array" ref="D14">SUM((MMULT(ISNUMBER(SEARCH(TRANSPOSE(category!$B$2:$B$25), A14))*1, ROW(category!$B$2:$B$25)^0)&gt;0)*1)</f>
        <v>1</v>
      </c>
      <c r="E14" s="4" cm="1">
        <f t="array" ref="E14">SUM((MMULT(ISNUMBER(SEARCH(TRANSPOSE(category!$C$2:$C$4), A14))*1, ROW(category!$C$2:$C$4)^0)&gt;0)*1)</f>
        <v>0</v>
      </c>
      <c r="F14" s="4" cm="1">
        <f t="array" ref="F14">SUM((MMULT(ISNUMBER(SEARCH(TRANSPOSE(category!$D$2:$D$10), A14))*1, ROW(category!$D$2:$D$10)^0)&gt;0)*1)</f>
        <v>1</v>
      </c>
      <c r="G14" s="4" cm="1">
        <f t="array" ref="G14">SUM((MMULT(ISNUMBER(SEARCH(TRANSPOSE(category!$E$2:$E$8), A14))*1, ROW(category!$E$2:$E$8)^0)&gt;0)*1)</f>
        <v>0</v>
      </c>
      <c r="H14" s="4" cm="1">
        <f t="array" ref="H14">SUM((MMULT(ISNUMBER(SEARCH(TRANSPOSE(category!$F$2:$F$9), A14))*1, ROW(category!$F$2:$F$9)^0)&gt;0)*1)</f>
        <v>0</v>
      </c>
    </row>
    <row r="15" spans="1:9" x14ac:dyDescent="0.45">
      <c r="A15" t="s">
        <v>41</v>
      </c>
      <c r="B15" s="6">
        <f t="shared" si="0"/>
        <v>101</v>
      </c>
      <c r="C15" s="4" cm="1">
        <f t="array" ref="C15">SUM((MMULT(ISNUMBER(SEARCH(TRANSPOSE(category!$A$2:$A$11), A15))*1, ROW(category!$A$2:$A$11)^0)&gt;0)*1)</f>
        <v>1</v>
      </c>
      <c r="D15" s="4" cm="1">
        <f t="array" ref="D15">SUM((MMULT(ISNUMBER(SEARCH(TRANSPOSE(category!$B$2:$B$25), A15))*1, ROW(category!$B$2:$B$25)^0)&gt;0)*1)</f>
        <v>1</v>
      </c>
      <c r="E15" s="4" cm="1">
        <f t="array" ref="E15">SUM((MMULT(ISNUMBER(SEARCH(TRANSPOSE(category!$C$2:$C$4), A15))*1, ROW(category!$C$2:$C$4)^0)&gt;0)*1)</f>
        <v>0</v>
      </c>
      <c r="F15" s="4" cm="1">
        <f t="array" ref="F15">SUM((MMULT(ISNUMBER(SEARCH(TRANSPOSE(category!$D$2:$D$10), A15))*1, ROW(category!$D$2:$D$10)^0)&gt;0)*1)</f>
        <v>1</v>
      </c>
      <c r="G15" s="4" cm="1">
        <f t="array" ref="G15">SUM((MMULT(ISNUMBER(SEARCH(TRANSPOSE(category!$E$2:$E$8), A15))*1, ROW(category!$E$2:$E$8)^0)&gt;0)*1)</f>
        <v>0</v>
      </c>
      <c r="H15" s="4" cm="1">
        <f t="array" ref="H15">SUM((MMULT(ISNUMBER(SEARCH(TRANSPOSE(category!$F$2:$F$9), A15))*1, ROW(category!$F$2:$F$9)^0)&gt;0)*1)</f>
        <v>0</v>
      </c>
    </row>
    <row r="16" spans="1:9" x14ac:dyDescent="0.45">
      <c r="A16" t="s">
        <v>43</v>
      </c>
      <c r="B16" s="6">
        <f t="shared" si="0"/>
        <v>101</v>
      </c>
      <c r="C16" s="4" cm="1">
        <f t="array" ref="C16">SUM((MMULT(ISNUMBER(SEARCH(TRANSPOSE(category!$A$2:$A$11), A16))*1, ROW(category!$A$2:$A$11)^0)&gt;0)*1)</f>
        <v>1</v>
      </c>
      <c r="D16" s="4" cm="1">
        <f t="array" ref="D16">SUM((MMULT(ISNUMBER(SEARCH(TRANSPOSE(category!$B$2:$B$25), A16))*1, ROW(category!$B$2:$B$25)^0)&gt;0)*1)</f>
        <v>1</v>
      </c>
      <c r="E16" s="4" cm="1">
        <f t="array" ref="E16">SUM((MMULT(ISNUMBER(SEARCH(TRANSPOSE(category!$C$2:$C$4), A16))*1, ROW(category!$C$2:$C$4)^0)&gt;0)*1)</f>
        <v>0</v>
      </c>
      <c r="F16" s="4" cm="1">
        <f t="array" ref="F16">SUM((MMULT(ISNUMBER(SEARCH(TRANSPOSE(category!$D$2:$D$10), A16))*1, ROW(category!$D$2:$D$10)^0)&gt;0)*1)</f>
        <v>1</v>
      </c>
      <c r="G16" s="4" cm="1">
        <f t="array" ref="G16">SUM((MMULT(ISNUMBER(SEARCH(TRANSPOSE(category!$E$2:$E$8), A16))*1, ROW(category!$E$2:$E$8)^0)&gt;0)*1)</f>
        <v>0</v>
      </c>
      <c r="H16" s="4" cm="1">
        <f t="array" ref="H16">SUM((MMULT(ISNUMBER(SEARCH(TRANSPOSE(category!$F$2:$F$9), A16))*1, ROW(category!$F$2:$F$9)^0)&gt;0)*1)</f>
        <v>0</v>
      </c>
    </row>
    <row r="17" spans="1:8" x14ac:dyDescent="0.45">
      <c r="A17" t="s">
        <v>45</v>
      </c>
      <c r="B17" s="6">
        <f t="shared" si="0"/>
        <v>59</v>
      </c>
      <c r="C17" s="4" cm="1">
        <f t="array" ref="C17">SUM((MMULT(ISNUMBER(SEARCH(TRANSPOSE(category!$A$2:$A$11), A17))*1, ROW(category!$A$2:$A$11)^0)&gt;0)*1)</f>
        <v>1</v>
      </c>
      <c r="D17" s="4" cm="1">
        <f t="array" ref="D17">SUM((MMULT(ISNUMBER(SEARCH(TRANSPOSE(category!$B$2:$B$25), A17))*1, ROW(category!$B$2:$B$25)^0)&gt;0)*1)</f>
        <v>1</v>
      </c>
      <c r="E17" s="4" cm="1">
        <f t="array" ref="E17">SUM((MMULT(ISNUMBER(SEARCH(TRANSPOSE(category!$C$2:$C$4), A17))*1, ROW(category!$C$2:$C$4)^0)&gt;0)*1)</f>
        <v>0</v>
      </c>
      <c r="F17" s="4" cm="1">
        <f t="array" ref="F17">SUM((MMULT(ISNUMBER(SEARCH(TRANSPOSE(category!$D$2:$D$10), A17))*1, ROW(category!$D$2:$D$10)^0)&gt;0)*1)</f>
        <v>1</v>
      </c>
      <c r="G17" s="4" cm="1">
        <f t="array" ref="G17">SUM((MMULT(ISNUMBER(SEARCH(TRANSPOSE(category!$E$2:$E$8), A17))*1, ROW(category!$E$2:$E$8)^0)&gt;0)*1)</f>
        <v>0</v>
      </c>
      <c r="H17" s="4" cm="1">
        <f t="array" ref="H17">SUM((MMULT(ISNUMBER(SEARCH(TRANSPOSE(category!$F$2:$F$9), A17))*1, ROW(category!$F$2:$F$9)^0)&gt;0)*1)</f>
        <v>1</v>
      </c>
    </row>
    <row r="18" spans="1:8" x14ac:dyDescent="0.45">
      <c r="A18" t="s">
        <v>47</v>
      </c>
      <c r="B18" s="6">
        <f t="shared" si="0"/>
        <v>112</v>
      </c>
      <c r="C18" s="4" cm="1">
        <f t="array" ref="C18">SUM((MMULT(ISNUMBER(SEARCH(TRANSPOSE(category!$A$2:$A$11), A18))*1, ROW(category!$A$2:$A$11)^0)&gt;0)*1)</f>
        <v>1</v>
      </c>
      <c r="D18" s="4" cm="1">
        <f t="array" ref="D18">SUM((MMULT(ISNUMBER(SEARCH(TRANSPOSE(category!$B$2:$B$25), A18))*1, ROW(category!$B$2:$B$25)^0)&gt;0)*1)</f>
        <v>1</v>
      </c>
      <c r="E18" s="4" cm="1">
        <f t="array" ref="E18">SUM((MMULT(ISNUMBER(SEARCH(TRANSPOSE(category!$C$2:$C$4), A18))*1, ROW(category!$C$2:$C$4)^0)&gt;0)*1)</f>
        <v>0</v>
      </c>
      <c r="F18" s="4" cm="1">
        <f t="array" ref="F18">SUM((MMULT(ISNUMBER(SEARCH(TRANSPOSE(category!$D$2:$D$10), A18))*1, ROW(category!$D$2:$D$10)^0)&gt;0)*1)</f>
        <v>1</v>
      </c>
      <c r="G18" s="4" cm="1">
        <f t="array" ref="G18">SUM((MMULT(ISNUMBER(SEARCH(TRANSPOSE(category!$E$2:$E$8), A18))*1, ROW(category!$E$2:$E$8)^0)&gt;0)*1)</f>
        <v>0</v>
      </c>
      <c r="H18" s="4" cm="1">
        <f t="array" ref="H18">SUM((MMULT(ISNUMBER(SEARCH(TRANSPOSE(category!$F$2:$F$9), A18))*1, ROW(category!$F$2:$F$9)^0)&gt;0)*1)</f>
        <v>0</v>
      </c>
    </row>
    <row r="19" spans="1:8" x14ac:dyDescent="0.45">
      <c r="A19" t="s">
        <v>49</v>
      </c>
      <c r="B19" s="6">
        <f t="shared" si="0"/>
        <v>49</v>
      </c>
      <c r="C19" s="4" cm="1">
        <f t="array" ref="C19">SUM((MMULT(ISNUMBER(SEARCH(TRANSPOSE(category!$A$2:$A$11), A19))*1, ROW(category!$A$2:$A$11)^0)&gt;0)*1)</f>
        <v>1</v>
      </c>
      <c r="D19" s="4" cm="1">
        <f t="array" ref="D19">SUM((MMULT(ISNUMBER(SEARCH(TRANSPOSE(category!$B$2:$B$25), A19))*1, ROW(category!$B$2:$B$25)^0)&gt;0)*1)</f>
        <v>1</v>
      </c>
      <c r="E19" s="4" cm="1">
        <f t="array" ref="E19">SUM((MMULT(ISNUMBER(SEARCH(TRANSPOSE(category!$C$2:$C$4), A19))*1, ROW(category!$C$2:$C$4)^0)&gt;0)*1)</f>
        <v>0</v>
      </c>
      <c r="F19" s="4" cm="1">
        <f t="array" ref="F19">SUM((MMULT(ISNUMBER(SEARCH(TRANSPOSE(category!$D$2:$D$10), A19))*1, ROW(category!$D$2:$D$10)^0)&gt;0)*1)</f>
        <v>1</v>
      </c>
      <c r="G19" s="4" cm="1">
        <f t="array" ref="G19">SUM((MMULT(ISNUMBER(SEARCH(TRANSPOSE(category!$E$2:$E$8), A19))*1, ROW(category!$E$2:$E$8)^0)&gt;0)*1)</f>
        <v>0</v>
      </c>
      <c r="H19" s="4" cm="1">
        <f t="array" ref="H19">SUM((MMULT(ISNUMBER(SEARCH(TRANSPOSE(category!$F$2:$F$9), A19))*1, ROW(category!$F$2:$F$9)^0)&gt;0)*1)</f>
        <v>0</v>
      </c>
    </row>
    <row r="20" spans="1:8" x14ac:dyDescent="0.45">
      <c r="A20" t="s">
        <v>51</v>
      </c>
      <c r="B20" s="6">
        <f t="shared" si="0"/>
        <v>39</v>
      </c>
      <c r="C20" s="4" cm="1">
        <f t="array" ref="C20">SUM((MMULT(ISNUMBER(SEARCH(TRANSPOSE(category!$A$2:$A$11), A20))*1, ROW(category!$A$2:$A$11)^0)&gt;0)*1)</f>
        <v>0</v>
      </c>
      <c r="D20" s="4" cm="1">
        <f t="array" ref="D20">SUM((MMULT(ISNUMBER(SEARCH(TRANSPOSE(category!$B$2:$B$25), A20))*1, ROW(category!$B$2:$B$25)^0)&gt;0)*1)</f>
        <v>1</v>
      </c>
      <c r="E20" s="4" cm="1">
        <f t="array" ref="E20">SUM((MMULT(ISNUMBER(SEARCH(TRANSPOSE(category!$C$2:$C$4), A20))*1, ROW(category!$C$2:$C$4)^0)&gt;0)*1)</f>
        <v>0</v>
      </c>
      <c r="F20" s="4" cm="1">
        <f t="array" ref="F20">SUM((MMULT(ISNUMBER(SEARCH(TRANSPOSE(category!$D$2:$D$10), A20))*1, ROW(category!$D$2:$D$10)^0)&gt;0)*1)</f>
        <v>1</v>
      </c>
      <c r="G20" s="4" cm="1">
        <f t="array" ref="G20">SUM((MMULT(ISNUMBER(SEARCH(TRANSPOSE(category!$E$2:$E$8), A20))*1, ROW(category!$E$2:$E$8)^0)&gt;0)*1)</f>
        <v>0</v>
      </c>
      <c r="H20" s="4" cm="1">
        <f t="array" ref="H20">SUM((MMULT(ISNUMBER(SEARCH(TRANSPOSE(category!$F$2:$F$9), A20))*1, ROW(category!$F$2:$F$9)^0)&gt;0)*1)</f>
        <v>0</v>
      </c>
    </row>
    <row r="21" spans="1:8" x14ac:dyDescent="0.45">
      <c r="A21" t="s">
        <v>53</v>
      </c>
      <c r="B21" s="6">
        <f t="shared" si="0"/>
        <v>30</v>
      </c>
      <c r="C21" s="4" cm="1">
        <f t="array" ref="C21">SUM((MMULT(ISNUMBER(SEARCH(TRANSPOSE(category!$A$2:$A$11), A21))*1, ROW(category!$A$2:$A$11)^0)&gt;0)*1)</f>
        <v>0</v>
      </c>
      <c r="D21" s="4" cm="1">
        <f t="array" ref="D21">SUM((MMULT(ISNUMBER(SEARCH(TRANSPOSE(category!$B$2:$B$25), A21))*1, ROW(category!$B$2:$B$25)^0)&gt;0)*1)</f>
        <v>1</v>
      </c>
      <c r="E21" s="4" cm="1">
        <f t="array" ref="E21">SUM((MMULT(ISNUMBER(SEARCH(TRANSPOSE(category!$C$2:$C$4), A21))*1, ROW(category!$C$2:$C$4)^0)&gt;0)*1)</f>
        <v>0</v>
      </c>
      <c r="F21" s="4" cm="1">
        <f t="array" ref="F21">SUM((MMULT(ISNUMBER(SEARCH(TRANSPOSE(category!$D$2:$D$10), A21))*1, ROW(category!$D$2:$D$10)^0)&gt;0)*1)</f>
        <v>0</v>
      </c>
      <c r="G21" s="4" cm="1">
        <f t="array" ref="G21">SUM((MMULT(ISNUMBER(SEARCH(TRANSPOSE(category!$E$2:$E$8), A21))*1, ROW(category!$E$2:$E$8)^0)&gt;0)*1)</f>
        <v>1</v>
      </c>
      <c r="H21" s="4" cm="1">
        <f t="array" ref="H21">SUM((MMULT(ISNUMBER(SEARCH(TRANSPOSE(category!$F$2:$F$9), A21))*1, ROW(category!$F$2:$F$9)^0)&gt;0)*1)</f>
        <v>0</v>
      </c>
    </row>
    <row r="22" spans="1:8" x14ac:dyDescent="0.45">
      <c r="A22" t="s">
        <v>55</v>
      </c>
      <c r="B22" s="6">
        <f t="shared" si="0"/>
        <v>32</v>
      </c>
      <c r="C22" s="4" cm="1">
        <f t="array" ref="C22">SUM((MMULT(ISNUMBER(SEARCH(TRANSPOSE(category!$A$2:$A$11), A22))*1, ROW(category!$A$2:$A$11)^0)&gt;0)*1)</f>
        <v>1</v>
      </c>
      <c r="D22" s="4" cm="1">
        <f t="array" ref="D22">SUM((MMULT(ISNUMBER(SEARCH(TRANSPOSE(category!$B$2:$B$25), A22))*1, ROW(category!$B$2:$B$25)^0)&gt;0)*1)</f>
        <v>1</v>
      </c>
      <c r="E22" s="4" cm="1">
        <f t="array" ref="E22">SUM((MMULT(ISNUMBER(SEARCH(TRANSPOSE(category!$C$2:$C$4), A22))*1, ROW(category!$C$2:$C$4)^0)&gt;0)*1)</f>
        <v>0</v>
      </c>
      <c r="F22" s="4" cm="1">
        <f t="array" ref="F22">SUM((MMULT(ISNUMBER(SEARCH(TRANSPOSE(category!$D$2:$D$10), A22))*1, ROW(category!$D$2:$D$10)^0)&gt;0)*1)</f>
        <v>1</v>
      </c>
      <c r="G22" s="4" cm="1">
        <f t="array" ref="G22">SUM((MMULT(ISNUMBER(SEARCH(TRANSPOSE(category!$E$2:$E$8), A22))*1, ROW(category!$E$2:$E$8)^0)&gt;0)*1)</f>
        <v>0</v>
      </c>
      <c r="H22" s="4" cm="1">
        <f t="array" ref="H22">SUM((MMULT(ISNUMBER(SEARCH(TRANSPOSE(category!$F$2:$F$9), A22))*1, ROW(category!$F$2:$F$9)^0)&gt;0)*1)</f>
        <v>0</v>
      </c>
    </row>
    <row r="23" spans="1:8" x14ac:dyDescent="0.45">
      <c r="A23" t="s">
        <v>58</v>
      </c>
      <c r="B23" s="6">
        <f t="shared" si="0"/>
        <v>14</v>
      </c>
      <c r="C23" s="4" cm="1">
        <f t="array" ref="C23">SUM((MMULT(ISNUMBER(SEARCH(TRANSPOSE(category!$A$2:$A$11), A23))*1, ROW(category!$A$2:$A$11)^0)&gt;0)*1)</f>
        <v>1</v>
      </c>
      <c r="D23" s="4" cm="1">
        <f t="array" ref="D23">SUM((MMULT(ISNUMBER(SEARCH(TRANSPOSE(category!$B$2:$B$25), A23))*1, ROW(category!$B$2:$B$25)^0)&gt;0)*1)</f>
        <v>1</v>
      </c>
      <c r="E23" s="4" cm="1">
        <f t="array" ref="E23">SUM((MMULT(ISNUMBER(SEARCH(TRANSPOSE(category!$C$2:$C$4), A23))*1, ROW(category!$C$2:$C$4)^0)&gt;0)*1)</f>
        <v>0</v>
      </c>
      <c r="F23" s="4" cm="1">
        <f t="array" ref="F23">SUM((MMULT(ISNUMBER(SEARCH(TRANSPOSE(category!$D$2:$D$10), A23))*1, ROW(category!$D$2:$D$10)^0)&gt;0)*1)</f>
        <v>1</v>
      </c>
      <c r="G23" s="4" cm="1">
        <f t="array" ref="G23">SUM((MMULT(ISNUMBER(SEARCH(TRANSPOSE(category!$E$2:$E$8), A23))*1, ROW(category!$E$2:$E$8)^0)&gt;0)*1)</f>
        <v>0</v>
      </c>
      <c r="H23" s="4" cm="1">
        <f t="array" ref="H23">SUM((MMULT(ISNUMBER(SEARCH(TRANSPOSE(category!$F$2:$F$9), A23))*1, ROW(category!$F$2:$F$9)^0)&gt;0)*1)</f>
        <v>0</v>
      </c>
    </row>
    <row r="24" spans="1:8" x14ac:dyDescent="0.45">
      <c r="A24" t="s">
        <v>60</v>
      </c>
      <c r="B24" s="6">
        <f t="shared" si="0"/>
        <v>24</v>
      </c>
      <c r="C24" s="4" cm="1">
        <f t="array" ref="C24">SUM((MMULT(ISNUMBER(SEARCH(TRANSPOSE(category!$A$2:$A$11), A24))*1, ROW(category!$A$2:$A$11)^0)&gt;0)*1)</f>
        <v>0</v>
      </c>
      <c r="D24" s="4" cm="1">
        <f t="array" ref="D24">SUM((MMULT(ISNUMBER(SEARCH(TRANSPOSE(category!$B$2:$B$25), A24))*1, ROW(category!$B$2:$B$25)^0)&gt;0)*1)</f>
        <v>1</v>
      </c>
      <c r="E24" s="4" cm="1">
        <f t="array" ref="E24">SUM((MMULT(ISNUMBER(SEARCH(TRANSPOSE(category!$C$2:$C$4), A24))*1, ROW(category!$C$2:$C$4)^0)&gt;0)*1)</f>
        <v>0</v>
      </c>
      <c r="F24" s="4" cm="1">
        <f t="array" ref="F24">SUM((MMULT(ISNUMBER(SEARCH(TRANSPOSE(category!$D$2:$D$10), A24))*1, ROW(category!$D$2:$D$10)^0)&gt;0)*1)</f>
        <v>1</v>
      </c>
      <c r="G24" s="4" cm="1">
        <f t="array" ref="G24">SUM((MMULT(ISNUMBER(SEARCH(TRANSPOSE(category!$E$2:$E$8), A24))*1, ROW(category!$E$2:$E$8)^0)&gt;0)*1)</f>
        <v>0</v>
      </c>
      <c r="H24" s="4" cm="1">
        <f t="array" ref="H24">SUM((MMULT(ISNUMBER(SEARCH(TRANSPOSE(category!$F$2:$F$9), A24))*1, ROW(category!$F$2:$F$9)^0)&gt;0)*1)</f>
        <v>1</v>
      </c>
    </row>
    <row r="25" spans="1:8" x14ac:dyDescent="0.45">
      <c r="A25" t="s">
        <v>63</v>
      </c>
      <c r="B25" s="6">
        <f t="shared" si="0"/>
        <v>66</v>
      </c>
      <c r="C25" s="4" cm="1">
        <f t="array" ref="C25">SUM((MMULT(ISNUMBER(SEARCH(TRANSPOSE(category!$A$2:$A$11), A25))*1, ROW(category!$A$2:$A$11)^0)&gt;0)*1)</f>
        <v>0</v>
      </c>
      <c r="D25" s="4" cm="1">
        <f t="array" ref="D25">SUM((MMULT(ISNUMBER(SEARCH(TRANSPOSE(category!$B$2:$B$25), A25))*1, ROW(category!$B$2:$B$25)^0)&gt;0)*1)</f>
        <v>1</v>
      </c>
      <c r="E25" s="4" cm="1">
        <f t="array" ref="E25">SUM((MMULT(ISNUMBER(SEARCH(TRANSPOSE(category!$C$2:$C$4), A25))*1, ROW(category!$C$2:$C$4)^0)&gt;0)*1)</f>
        <v>0</v>
      </c>
      <c r="F25" s="4" cm="1">
        <f t="array" ref="F25">SUM((MMULT(ISNUMBER(SEARCH(TRANSPOSE(category!$D$2:$D$10), A25))*1, ROW(category!$D$2:$D$10)^0)&gt;0)*1)</f>
        <v>1</v>
      </c>
      <c r="G25" s="4" cm="1">
        <f t="array" ref="G25">SUM((MMULT(ISNUMBER(SEARCH(TRANSPOSE(category!$E$2:$E$8), A25))*1, ROW(category!$E$2:$E$8)^0)&gt;0)*1)</f>
        <v>0</v>
      </c>
      <c r="H25" s="4" cm="1">
        <f t="array" ref="H25">SUM((MMULT(ISNUMBER(SEARCH(TRANSPOSE(category!$F$2:$F$9), A25))*1, ROW(category!$F$2:$F$9)^0)&gt;0)*1)</f>
        <v>0</v>
      </c>
    </row>
    <row r="26" spans="1:8" x14ac:dyDescent="0.45">
      <c r="A26" t="s">
        <v>65</v>
      </c>
      <c r="B26" s="6">
        <f t="shared" si="0"/>
        <v>58</v>
      </c>
      <c r="C26" s="4" cm="1">
        <f t="array" ref="C26">SUM((MMULT(ISNUMBER(SEARCH(TRANSPOSE(category!$A$2:$A$11), A26))*1, ROW(category!$A$2:$A$11)^0)&gt;0)*1)</f>
        <v>0</v>
      </c>
      <c r="D26" s="4" cm="1">
        <f t="array" ref="D26">SUM((MMULT(ISNUMBER(SEARCH(TRANSPOSE(category!$B$2:$B$25), A26))*1, ROW(category!$B$2:$B$25)^0)&gt;0)*1)</f>
        <v>1</v>
      </c>
      <c r="E26" s="4" cm="1">
        <f t="array" ref="E26">SUM((MMULT(ISNUMBER(SEARCH(TRANSPOSE(category!$C$2:$C$4), A26))*1, ROW(category!$C$2:$C$4)^0)&gt;0)*1)</f>
        <v>0</v>
      </c>
      <c r="F26" s="4" cm="1">
        <f t="array" ref="F26">SUM((MMULT(ISNUMBER(SEARCH(TRANSPOSE(category!$D$2:$D$10), A26))*1, ROW(category!$D$2:$D$10)^0)&gt;0)*1)</f>
        <v>1</v>
      </c>
      <c r="G26" s="4" cm="1">
        <f t="array" ref="G26">SUM((MMULT(ISNUMBER(SEARCH(TRANSPOSE(category!$E$2:$E$8), A26))*1, ROW(category!$E$2:$E$8)^0)&gt;0)*1)</f>
        <v>0</v>
      </c>
      <c r="H26" s="4" cm="1">
        <f t="array" ref="H26">SUM((MMULT(ISNUMBER(SEARCH(TRANSPOSE(category!$F$2:$F$9), A26))*1, ROW(category!$F$2:$F$9)^0)&gt;0)*1)</f>
        <v>1</v>
      </c>
    </row>
    <row r="27" spans="1:8" x14ac:dyDescent="0.45">
      <c r="A27" t="s">
        <v>67</v>
      </c>
      <c r="B27" s="6">
        <f t="shared" si="0"/>
        <v>24</v>
      </c>
      <c r="C27" s="4" cm="1">
        <f t="array" ref="C27">SUM((MMULT(ISNUMBER(SEARCH(TRANSPOSE(category!$A$2:$A$11), A27))*1, ROW(category!$A$2:$A$11)^0)&gt;0)*1)</f>
        <v>0</v>
      </c>
      <c r="D27" s="4" cm="1">
        <f t="array" ref="D27">SUM((MMULT(ISNUMBER(SEARCH(TRANSPOSE(category!$B$2:$B$25), A27))*1, ROW(category!$B$2:$B$25)^0)&gt;0)*1)</f>
        <v>1</v>
      </c>
      <c r="E27" s="4" cm="1">
        <f t="array" ref="E27">SUM((MMULT(ISNUMBER(SEARCH(TRANSPOSE(category!$C$2:$C$4), A27))*1, ROW(category!$C$2:$C$4)^0)&gt;0)*1)</f>
        <v>0</v>
      </c>
      <c r="F27" s="4" cm="1">
        <f t="array" ref="F27">SUM((MMULT(ISNUMBER(SEARCH(TRANSPOSE(category!$D$2:$D$10), A27))*1, ROW(category!$D$2:$D$10)^0)&gt;0)*1)</f>
        <v>1</v>
      </c>
      <c r="G27" s="4" cm="1">
        <f t="array" ref="G27">SUM((MMULT(ISNUMBER(SEARCH(TRANSPOSE(category!$E$2:$E$8), A27))*1, ROW(category!$E$2:$E$8)^0)&gt;0)*1)</f>
        <v>0</v>
      </c>
      <c r="H27" s="4" cm="1">
        <f t="array" ref="H27">SUM((MMULT(ISNUMBER(SEARCH(TRANSPOSE(category!$F$2:$F$9), A27))*1, ROW(category!$F$2:$F$9)^0)&gt;0)*1)</f>
        <v>0</v>
      </c>
    </row>
    <row r="28" spans="1:8" x14ac:dyDescent="0.45">
      <c r="A28" t="s">
        <v>69</v>
      </c>
      <c r="B28" s="6">
        <f t="shared" si="0"/>
        <v>26</v>
      </c>
      <c r="C28" s="4" cm="1">
        <f t="array" ref="C28">SUM((MMULT(ISNUMBER(SEARCH(TRANSPOSE(category!$A$2:$A$11), A28))*1, ROW(category!$A$2:$A$11)^0)&gt;0)*1)</f>
        <v>0</v>
      </c>
      <c r="D28" s="4" cm="1">
        <f t="array" ref="D28">SUM((MMULT(ISNUMBER(SEARCH(TRANSPOSE(category!$B$2:$B$25), A28))*1, ROW(category!$B$2:$B$25)^0)&gt;0)*1)</f>
        <v>1</v>
      </c>
      <c r="E28" s="4" cm="1">
        <f t="array" ref="E28">SUM((MMULT(ISNUMBER(SEARCH(TRANSPOSE(category!$C$2:$C$4), A28))*1, ROW(category!$C$2:$C$4)^0)&gt;0)*1)</f>
        <v>0</v>
      </c>
      <c r="F28" s="4" cm="1">
        <f t="array" ref="F28">SUM((MMULT(ISNUMBER(SEARCH(TRANSPOSE(category!$D$2:$D$10), A28))*1, ROW(category!$D$2:$D$10)^0)&gt;0)*1)</f>
        <v>1</v>
      </c>
      <c r="G28" s="4" cm="1">
        <f t="array" ref="G28">SUM((MMULT(ISNUMBER(SEARCH(TRANSPOSE(category!$E$2:$E$8), A28))*1, ROW(category!$E$2:$E$8)^0)&gt;0)*1)</f>
        <v>0</v>
      </c>
      <c r="H28" s="4" cm="1">
        <f t="array" ref="H28">SUM((MMULT(ISNUMBER(SEARCH(TRANSPOSE(category!$F$2:$F$9), A28))*1, ROW(category!$F$2:$F$9)^0)&gt;0)*1)</f>
        <v>0</v>
      </c>
    </row>
    <row r="29" spans="1:8" x14ac:dyDescent="0.45">
      <c r="A29" t="s">
        <v>72</v>
      </c>
      <c r="B29" s="6">
        <f t="shared" si="0"/>
        <v>70</v>
      </c>
      <c r="C29" s="4" cm="1">
        <f t="array" ref="C29">SUM((MMULT(ISNUMBER(SEARCH(TRANSPOSE(category!$A$2:$A$11), A29))*1, ROW(category!$A$2:$A$11)^0)&gt;0)*1)</f>
        <v>0</v>
      </c>
      <c r="D29" s="4" cm="1">
        <f t="array" ref="D29">SUM((MMULT(ISNUMBER(SEARCH(TRANSPOSE(category!$B$2:$B$25), A29))*1, ROW(category!$B$2:$B$25)^0)&gt;0)*1)</f>
        <v>1</v>
      </c>
      <c r="E29" s="4" cm="1">
        <f t="array" ref="E29">SUM((MMULT(ISNUMBER(SEARCH(TRANSPOSE(category!$C$2:$C$4), A29))*1, ROW(category!$C$2:$C$4)^0)&gt;0)*1)</f>
        <v>0</v>
      </c>
      <c r="F29" s="4" cm="1">
        <f t="array" ref="F29">SUM((MMULT(ISNUMBER(SEARCH(TRANSPOSE(category!$D$2:$D$10), A29))*1, ROW(category!$D$2:$D$10)^0)&gt;0)*1)</f>
        <v>1</v>
      </c>
      <c r="G29" s="4" cm="1">
        <f t="array" ref="G29">SUM((MMULT(ISNUMBER(SEARCH(TRANSPOSE(category!$E$2:$E$8), A29))*1, ROW(category!$E$2:$E$8)^0)&gt;0)*1)</f>
        <v>0</v>
      </c>
      <c r="H29" s="4" cm="1">
        <f t="array" ref="H29">SUM((MMULT(ISNUMBER(SEARCH(TRANSPOSE(category!$F$2:$F$9), A29))*1, ROW(category!$F$2:$F$9)^0)&gt;0)*1)</f>
        <v>0</v>
      </c>
    </row>
    <row r="30" spans="1:8" x14ac:dyDescent="0.45">
      <c r="A30" t="s">
        <v>75</v>
      </c>
      <c r="B30" s="6">
        <f t="shared" si="0"/>
        <v>34</v>
      </c>
      <c r="C30" s="4" cm="1">
        <f t="array" ref="C30">SUM((MMULT(ISNUMBER(SEARCH(TRANSPOSE(category!$A$2:$A$11), A30))*1, ROW(category!$A$2:$A$11)^0)&gt;0)*1)</f>
        <v>0</v>
      </c>
      <c r="D30" s="4" cm="1">
        <f t="array" ref="D30">SUM((MMULT(ISNUMBER(SEARCH(TRANSPOSE(category!$B$2:$B$25), A30))*1, ROW(category!$B$2:$B$25)^0)&gt;0)*1)</f>
        <v>1</v>
      </c>
      <c r="E30" s="4" cm="1">
        <f t="array" ref="E30">SUM((MMULT(ISNUMBER(SEARCH(TRANSPOSE(category!$C$2:$C$4), A30))*1, ROW(category!$C$2:$C$4)^0)&gt;0)*1)</f>
        <v>0</v>
      </c>
      <c r="F30" s="4" cm="1">
        <f t="array" ref="F30">SUM((MMULT(ISNUMBER(SEARCH(TRANSPOSE(category!$D$2:$D$10), A30))*1, ROW(category!$D$2:$D$10)^0)&gt;0)*1)</f>
        <v>1</v>
      </c>
      <c r="G30" s="4" cm="1">
        <f t="array" ref="G30">SUM((MMULT(ISNUMBER(SEARCH(TRANSPOSE(category!$E$2:$E$8), A30))*1, ROW(category!$E$2:$E$8)^0)&gt;0)*1)</f>
        <v>0</v>
      </c>
      <c r="H30" s="4" cm="1">
        <f t="array" ref="H30">SUM((MMULT(ISNUMBER(SEARCH(TRANSPOSE(category!$F$2:$F$9), A30))*1, ROW(category!$F$2:$F$9)^0)&gt;0)*1)</f>
        <v>0</v>
      </c>
    </row>
    <row r="31" spans="1:8" x14ac:dyDescent="0.45">
      <c r="A31" t="s">
        <v>77</v>
      </c>
      <c r="B31" s="6">
        <f t="shared" si="0"/>
        <v>47</v>
      </c>
      <c r="C31" s="4" cm="1">
        <f t="array" ref="C31">SUM((MMULT(ISNUMBER(SEARCH(TRANSPOSE(category!$A$2:$A$11), A31))*1, ROW(category!$A$2:$A$11)^0)&gt;0)*1)</f>
        <v>1</v>
      </c>
      <c r="D31" s="4" cm="1">
        <f t="array" ref="D31">SUM((MMULT(ISNUMBER(SEARCH(TRANSPOSE(category!$B$2:$B$25), A31))*1, ROW(category!$B$2:$B$25)^0)&gt;0)*1)</f>
        <v>1</v>
      </c>
      <c r="E31" s="4" cm="1">
        <f t="array" ref="E31">SUM((MMULT(ISNUMBER(SEARCH(TRANSPOSE(category!$C$2:$C$4), A31))*1, ROW(category!$C$2:$C$4)^0)&gt;0)*1)</f>
        <v>0</v>
      </c>
      <c r="F31" s="4" cm="1">
        <f t="array" ref="F31">SUM((MMULT(ISNUMBER(SEARCH(TRANSPOSE(category!$D$2:$D$10), A31))*1, ROW(category!$D$2:$D$10)^0)&gt;0)*1)</f>
        <v>1</v>
      </c>
      <c r="G31" s="4" cm="1">
        <f t="array" ref="G31">SUM((MMULT(ISNUMBER(SEARCH(TRANSPOSE(category!$E$2:$E$8), A31))*1, ROW(category!$E$2:$E$8)^0)&gt;0)*1)</f>
        <v>0</v>
      </c>
      <c r="H31" s="4" cm="1">
        <f t="array" ref="H31">SUM((MMULT(ISNUMBER(SEARCH(TRANSPOSE(category!$F$2:$F$9), A31))*1, ROW(category!$F$2:$F$9)^0)&gt;0)*1)</f>
        <v>1</v>
      </c>
    </row>
    <row r="32" spans="1:8" x14ac:dyDescent="0.45">
      <c r="A32" t="s">
        <v>79</v>
      </c>
      <c r="B32" s="6">
        <f t="shared" si="0"/>
        <v>26</v>
      </c>
      <c r="C32" s="4" cm="1">
        <f t="array" ref="C32">SUM((MMULT(ISNUMBER(SEARCH(TRANSPOSE(category!$A$2:$A$11), A32))*1, ROW(category!$A$2:$A$11)^0)&gt;0)*1)</f>
        <v>0</v>
      </c>
      <c r="D32" s="4" cm="1">
        <f t="array" ref="D32">SUM((MMULT(ISNUMBER(SEARCH(TRANSPOSE(category!$B$2:$B$25), A32))*1, ROW(category!$B$2:$B$25)^0)&gt;0)*1)</f>
        <v>1</v>
      </c>
      <c r="E32" s="4" cm="1">
        <f t="array" ref="E32">SUM((MMULT(ISNUMBER(SEARCH(TRANSPOSE(category!$C$2:$C$4), A32))*1, ROW(category!$C$2:$C$4)^0)&gt;0)*1)</f>
        <v>0</v>
      </c>
      <c r="F32" s="4" cm="1">
        <f t="array" ref="F32">SUM((MMULT(ISNUMBER(SEARCH(TRANSPOSE(category!$D$2:$D$10), A32))*1, ROW(category!$D$2:$D$10)^0)&gt;0)*1)</f>
        <v>0</v>
      </c>
      <c r="G32" s="4" cm="1">
        <f t="array" ref="G32">SUM((MMULT(ISNUMBER(SEARCH(TRANSPOSE(category!$E$2:$E$8), A32))*1, ROW(category!$E$2:$E$8)^0)&gt;0)*1)</f>
        <v>0</v>
      </c>
      <c r="H32" s="4" cm="1">
        <f t="array" ref="H32">SUM((MMULT(ISNUMBER(SEARCH(TRANSPOSE(category!$F$2:$F$9), A32))*1, ROW(category!$F$2:$F$9)^0)&gt;0)*1)</f>
        <v>0</v>
      </c>
    </row>
    <row r="33" spans="1:8" x14ac:dyDescent="0.45">
      <c r="A33" t="s">
        <v>81</v>
      </c>
      <c r="B33" s="6">
        <f t="shared" si="0"/>
        <v>17</v>
      </c>
      <c r="C33" s="4" cm="1">
        <f t="array" ref="C33">SUM((MMULT(ISNUMBER(SEARCH(TRANSPOSE(category!$A$2:$A$11), A33))*1, ROW(category!$A$2:$A$11)^0)&gt;0)*1)</f>
        <v>0</v>
      </c>
      <c r="D33" s="4" cm="1">
        <f t="array" ref="D33">SUM((MMULT(ISNUMBER(SEARCH(TRANSPOSE(category!$B$2:$B$25), A33))*1, ROW(category!$B$2:$B$25)^0)&gt;0)*1)</f>
        <v>1</v>
      </c>
      <c r="E33" s="4" cm="1">
        <f t="array" ref="E33">SUM((MMULT(ISNUMBER(SEARCH(TRANSPOSE(category!$C$2:$C$4), A33))*1, ROW(category!$C$2:$C$4)^0)&gt;0)*1)</f>
        <v>0</v>
      </c>
      <c r="F33" s="4" cm="1">
        <f t="array" ref="F33">SUM((MMULT(ISNUMBER(SEARCH(TRANSPOSE(category!$D$2:$D$10), A33))*1, ROW(category!$D$2:$D$10)^0)&gt;0)*1)</f>
        <v>1</v>
      </c>
      <c r="G33" s="4" cm="1">
        <f t="array" ref="G33">SUM((MMULT(ISNUMBER(SEARCH(TRANSPOSE(category!$E$2:$E$8), A33))*1, ROW(category!$E$2:$E$8)^0)&gt;0)*1)</f>
        <v>0</v>
      </c>
      <c r="H33" s="4" cm="1">
        <f t="array" ref="H33">SUM((MMULT(ISNUMBER(SEARCH(TRANSPOSE(category!$F$2:$F$9), A33))*1, ROW(category!$F$2:$F$9)^0)&gt;0)*1)</f>
        <v>0</v>
      </c>
    </row>
    <row r="34" spans="1:8" x14ac:dyDescent="0.45">
      <c r="A34" t="s">
        <v>83</v>
      </c>
      <c r="B34" s="6">
        <f t="shared" si="0"/>
        <v>31</v>
      </c>
      <c r="C34" s="4" cm="1">
        <f t="array" ref="C34">SUM((MMULT(ISNUMBER(SEARCH(TRANSPOSE(category!$A$2:$A$11), A34))*1, ROW(category!$A$2:$A$11)^0)&gt;0)*1)</f>
        <v>1</v>
      </c>
      <c r="D34" s="4" cm="1">
        <f t="array" ref="D34">SUM((MMULT(ISNUMBER(SEARCH(TRANSPOSE(category!$B$2:$B$25), A34))*1, ROW(category!$B$2:$B$25)^0)&gt;0)*1)</f>
        <v>1</v>
      </c>
      <c r="E34" s="4" cm="1">
        <f t="array" ref="E34">SUM((MMULT(ISNUMBER(SEARCH(TRANSPOSE(category!$C$2:$C$4), A34))*1, ROW(category!$C$2:$C$4)^0)&gt;0)*1)</f>
        <v>0</v>
      </c>
      <c r="F34" s="4" cm="1">
        <f t="array" ref="F34">SUM((MMULT(ISNUMBER(SEARCH(TRANSPOSE(category!$D$2:$D$10), A34))*1, ROW(category!$D$2:$D$10)^0)&gt;0)*1)</f>
        <v>1</v>
      </c>
      <c r="G34" s="4" cm="1">
        <f t="array" ref="G34">SUM((MMULT(ISNUMBER(SEARCH(TRANSPOSE(category!$E$2:$E$8), A34))*1, ROW(category!$E$2:$E$8)^0)&gt;0)*1)</f>
        <v>0</v>
      </c>
      <c r="H34" s="4" cm="1">
        <f t="array" ref="H34">SUM((MMULT(ISNUMBER(SEARCH(TRANSPOSE(category!$F$2:$F$9), A34))*1, ROW(category!$F$2:$F$9)^0)&gt;0)*1)</f>
        <v>1</v>
      </c>
    </row>
    <row r="35" spans="1:8" x14ac:dyDescent="0.45">
      <c r="A35" t="s">
        <v>85</v>
      </c>
      <c r="B35" s="6">
        <f t="shared" si="0"/>
        <v>33</v>
      </c>
      <c r="C35" s="4" cm="1">
        <f t="array" ref="C35">SUM((MMULT(ISNUMBER(SEARCH(TRANSPOSE(category!$A$2:$A$11), A35))*1, ROW(category!$A$2:$A$11)^0)&gt;0)*1)</f>
        <v>0</v>
      </c>
      <c r="D35" s="4" cm="1">
        <f t="array" ref="D35">SUM((MMULT(ISNUMBER(SEARCH(TRANSPOSE(category!$B$2:$B$25), A35))*1, ROW(category!$B$2:$B$25)^0)&gt;0)*1)</f>
        <v>1</v>
      </c>
      <c r="E35" s="4" cm="1">
        <f t="array" ref="E35">SUM((MMULT(ISNUMBER(SEARCH(TRANSPOSE(category!$C$2:$C$4), A35))*1, ROW(category!$C$2:$C$4)^0)&gt;0)*1)</f>
        <v>0</v>
      </c>
      <c r="F35" s="4" cm="1">
        <f t="array" ref="F35">SUM((MMULT(ISNUMBER(SEARCH(TRANSPOSE(category!$D$2:$D$10), A35))*1, ROW(category!$D$2:$D$10)^0)&gt;0)*1)</f>
        <v>0</v>
      </c>
      <c r="G35" s="4" cm="1">
        <f t="array" ref="G35">SUM((MMULT(ISNUMBER(SEARCH(TRANSPOSE(category!$E$2:$E$8), A35))*1, ROW(category!$E$2:$E$8)^0)&gt;0)*1)</f>
        <v>0</v>
      </c>
      <c r="H35" s="4" cm="1">
        <f t="array" ref="H35">SUM((MMULT(ISNUMBER(SEARCH(TRANSPOSE(category!$F$2:$F$9), A35))*1, ROW(category!$F$2:$F$9)^0)&gt;0)*1)</f>
        <v>1</v>
      </c>
    </row>
    <row r="36" spans="1:8" x14ac:dyDescent="0.45">
      <c r="A36" t="s">
        <v>87</v>
      </c>
      <c r="B36" s="6">
        <f t="shared" si="0"/>
        <v>9</v>
      </c>
      <c r="C36" s="4" cm="1">
        <f t="array" ref="C36">SUM((MMULT(ISNUMBER(SEARCH(TRANSPOSE(category!$A$2:$A$11), A36))*1, ROW(category!$A$2:$A$11)^0)&gt;0)*1)</f>
        <v>0</v>
      </c>
      <c r="D36" s="4" cm="1">
        <f t="array" ref="D36">SUM((MMULT(ISNUMBER(SEARCH(TRANSPOSE(category!$B$2:$B$25), A36))*1, ROW(category!$B$2:$B$25)^0)&gt;0)*1)</f>
        <v>1</v>
      </c>
      <c r="E36" s="4" cm="1">
        <f t="array" ref="E36">SUM((MMULT(ISNUMBER(SEARCH(TRANSPOSE(category!$C$2:$C$4), A36))*1, ROW(category!$C$2:$C$4)^0)&gt;0)*1)</f>
        <v>0</v>
      </c>
      <c r="F36" s="4" cm="1">
        <f t="array" ref="F36">SUM((MMULT(ISNUMBER(SEARCH(TRANSPOSE(category!$D$2:$D$10), A36))*1, ROW(category!$D$2:$D$10)^0)&gt;0)*1)</f>
        <v>1</v>
      </c>
      <c r="G36" s="4" cm="1">
        <f t="array" ref="G36">SUM((MMULT(ISNUMBER(SEARCH(TRANSPOSE(category!$E$2:$E$8), A36))*1, ROW(category!$E$2:$E$8)^0)&gt;0)*1)</f>
        <v>0</v>
      </c>
      <c r="H36" s="4" cm="1">
        <f t="array" ref="H36">SUM((MMULT(ISNUMBER(SEARCH(TRANSPOSE(category!$F$2:$F$9), A36))*1, ROW(category!$F$2:$F$9)^0)&gt;0)*1)</f>
        <v>0</v>
      </c>
    </row>
    <row r="37" spans="1:8" x14ac:dyDescent="0.45">
      <c r="A37" t="s">
        <v>89</v>
      </c>
      <c r="B37" s="6">
        <f t="shared" si="0"/>
        <v>30</v>
      </c>
      <c r="C37" s="4" cm="1">
        <f t="array" ref="C37">SUM((MMULT(ISNUMBER(SEARCH(TRANSPOSE(category!$A$2:$A$11), A37))*1, ROW(category!$A$2:$A$11)^0)&gt;0)*1)</f>
        <v>0</v>
      </c>
      <c r="D37" s="4" cm="1">
        <f t="array" ref="D37">SUM((MMULT(ISNUMBER(SEARCH(TRANSPOSE(category!$B$2:$B$25), A37))*1, ROW(category!$B$2:$B$25)^0)&gt;0)*1)</f>
        <v>1</v>
      </c>
      <c r="E37" s="4" cm="1">
        <f t="array" ref="E37">SUM((MMULT(ISNUMBER(SEARCH(TRANSPOSE(category!$C$2:$C$4), A37))*1, ROW(category!$C$2:$C$4)^0)&gt;0)*1)</f>
        <v>0</v>
      </c>
      <c r="F37" s="4" cm="1">
        <f t="array" ref="F37">SUM((MMULT(ISNUMBER(SEARCH(TRANSPOSE(category!$D$2:$D$10), A37))*1, ROW(category!$D$2:$D$10)^0)&gt;0)*1)</f>
        <v>0</v>
      </c>
      <c r="G37" s="4" cm="1">
        <f t="array" ref="G37">SUM((MMULT(ISNUMBER(SEARCH(TRANSPOSE(category!$E$2:$E$8), A37))*1, ROW(category!$E$2:$E$8)^0)&gt;0)*1)</f>
        <v>0</v>
      </c>
      <c r="H37" s="4" cm="1">
        <f t="array" ref="H37">SUM((MMULT(ISNUMBER(SEARCH(TRANSPOSE(category!$F$2:$F$9), A37))*1, ROW(category!$F$2:$F$9)^0)&gt;0)*1)</f>
        <v>0</v>
      </c>
    </row>
    <row r="38" spans="1:8" x14ac:dyDescent="0.45">
      <c r="A38" t="s">
        <v>91</v>
      </c>
      <c r="B38" s="6">
        <f t="shared" si="0"/>
        <v>53</v>
      </c>
      <c r="C38" s="4" cm="1">
        <f t="array" ref="C38">SUM((MMULT(ISNUMBER(SEARCH(TRANSPOSE(category!$A$2:$A$11), A38))*1, ROW(category!$A$2:$A$11)^0)&gt;0)*1)</f>
        <v>1</v>
      </c>
      <c r="D38" s="4" cm="1">
        <f t="array" ref="D38">SUM((MMULT(ISNUMBER(SEARCH(TRANSPOSE(category!$B$2:$B$25), A38))*1, ROW(category!$B$2:$B$25)^0)&gt;0)*1)</f>
        <v>1</v>
      </c>
      <c r="E38" s="4" cm="1">
        <f t="array" ref="E38">SUM((MMULT(ISNUMBER(SEARCH(TRANSPOSE(category!$C$2:$C$4), A38))*1, ROW(category!$C$2:$C$4)^0)&gt;0)*1)</f>
        <v>0</v>
      </c>
      <c r="F38" s="4" cm="1">
        <f t="array" ref="F38">SUM((MMULT(ISNUMBER(SEARCH(TRANSPOSE(category!$D$2:$D$10), A38))*1, ROW(category!$D$2:$D$10)^0)&gt;0)*1)</f>
        <v>1</v>
      </c>
      <c r="G38" s="4" cm="1">
        <f t="array" ref="G38">SUM((MMULT(ISNUMBER(SEARCH(TRANSPOSE(category!$E$2:$E$8), A38))*1, ROW(category!$E$2:$E$8)^0)&gt;0)*1)</f>
        <v>0</v>
      </c>
      <c r="H38" s="4" cm="1">
        <f t="array" ref="H38">SUM((MMULT(ISNUMBER(SEARCH(TRANSPOSE(category!$F$2:$F$9), A38))*1, ROW(category!$F$2:$F$9)^0)&gt;0)*1)</f>
        <v>0</v>
      </c>
    </row>
    <row r="39" spans="1:8" x14ac:dyDescent="0.45">
      <c r="A39" t="s">
        <v>93</v>
      </c>
      <c r="B39" s="6">
        <f t="shared" si="0"/>
        <v>25</v>
      </c>
      <c r="C39" s="4" cm="1">
        <f t="array" ref="C39">SUM((MMULT(ISNUMBER(SEARCH(TRANSPOSE(category!$A$2:$A$11), A39))*1, ROW(category!$A$2:$A$11)^0)&gt;0)*1)</f>
        <v>0</v>
      </c>
      <c r="D39" s="4" cm="1">
        <f t="array" ref="D39">SUM((MMULT(ISNUMBER(SEARCH(TRANSPOSE(category!$B$2:$B$25), A39))*1, ROW(category!$B$2:$B$25)^0)&gt;0)*1)</f>
        <v>1</v>
      </c>
      <c r="E39" s="4" cm="1">
        <f t="array" ref="E39">SUM((MMULT(ISNUMBER(SEARCH(TRANSPOSE(category!$C$2:$C$4), A39))*1, ROW(category!$C$2:$C$4)^0)&gt;0)*1)</f>
        <v>0</v>
      </c>
      <c r="F39" s="4" cm="1">
        <f t="array" ref="F39">SUM((MMULT(ISNUMBER(SEARCH(TRANSPOSE(category!$D$2:$D$10), A39))*1, ROW(category!$D$2:$D$10)^0)&gt;0)*1)</f>
        <v>1</v>
      </c>
      <c r="G39" s="4" cm="1">
        <f t="array" ref="G39">SUM((MMULT(ISNUMBER(SEARCH(TRANSPOSE(category!$E$2:$E$8), A39))*1, ROW(category!$E$2:$E$8)^0)&gt;0)*1)</f>
        <v>0</v>
      </c>
      <c r="H39" s="4" cm="1">
        <f t="array" ref="H39">SUM((MMULT(ISNUMBER(SEARCH(TRANSPOSE(category!$F$2:$F$9), A39))*1, ROW(category!$F$2:$F$9)^0)&gt;0)*1)</f>
        <v>1</v>
      </c>
    </row>
    <row r="40" spans="1:8" x14ac:dyDescent="0.45">
      <c r="A40" t="s">
        <v>95</v>
      </c>
      <c r="B40" s="6">
        <f t="shared" si="0"/>
        <v>8</v>
      </c>
      <c r="C40" s="4" cm="1">
        <f t="array" ref="C40">SUM((MMULT(ISNUMBER(SEARCH(TRANSPOSE(category!$A$2:$A$11), A40))*1, ROW(category!$A$2:$A$11)^0)&gt;0)*1)</f>
        <v>0</v>
      </c>
      <c r="D40" s="4" cm="1">
        <f t="array" ref="D40">SUM((MMULT(ISNUMBER(SEARCH(TRANSPOSE(category!$B$2:$B$25), A40))*1, ROW(category!$B$2:$B$25)^0)&gt;0)*1)</f>
        <v>1</v>
      </c>
      <c r="E40" s="4" cm="1">
        <f t="array" ref="E40">SUM((MMULT(ISNUMBER(SEARCH(TRANSPOSE(category!$C$2:$C$4), A40))*1, ROW(category!$C$2:$C$4)^0)&gt;0)*1)</f>
        <v>0</v>
      </c>
      <c r="F40" s="4" cm="1">
        <f t="array" ref="F40">SUM((MMULT(ISNUMBER(SEARCH(TRANSPOSE(category!$D$2:$D$10), A40))*1, ROW(category!$D$2:$D$10)^0)&gt;0)*1)</f>
        <v>1</v>
      </c>
      <c r="G40" s="4" cm="1">
        <f t="array" ref="G40">SUM((MMULT(ISNUMBER(SEARCH(TRANSPOSE(category!$E$2:$E$8), A40))*1, ROW(category!$E$2:$E$8)^0)&gt;0)*1)</f>
        <v>0</v>
      </c>
      <c r="H40" s="4" cm="1">
        <f t="array" ref="H40">SUM((MMULT(ISNUMBER(SEARCH(TRANSPOSE(category!$F$2:$F$9), A40))*1, ROW(category!$F$2:$F$9)^0)&gt;0)*1)</f>
        <v>0</v>
      </c>
    </row>
    <row r="41" spans="1:8" x14ac:dyDescent="0.45">
      <c r="A41" t="s">
        <v>97</v>
      </c>
      <c r="B41" s="6">
        <f t="shared" si="0"/>
        <v>17</v>
      </c>
      <c r="C41" s="4" cm="1">
        <f t="array" ref="C41">SUM((MMULT(ISNUMBER(SEARCH(TRANSPOSE(category!$A$2:$A$11), A41))*1, ROW(category!$A$2:$A$11)^0)&gt;0)*1)</f>
        <v>0</v>
      </c>
      <c r="D41" s="4" cm="1">
        <f t="array" ref="D41">SUM((MMULT(ISNUMBER(SEARCH(TRANSPOSE(category!$B$2:$B$25), A41))*1, ROW(category!$B$2:$B$25)^0)&gt;0)*1)</f>
        <v>1</v>
      </c>
      <c r="E41" s="4" cm="1">
        <f t="array" ref="E41">SUM((MMULT(ISNUMBER(SEARCH(TRANSPOSE(category!$C$2:$C$4), A41))*1, ROW(category!$C$2:$C$4)^0)&gt;0)*1)</f>
        <v>0</v>
      </c>
      <c r="F41" s="4" cm="1">
        <f t="array" ref="F41">SUM((MMULT(ISNUMBER(SEARCH(TRANSPOSE(category!$D$2:$D$10), A41))*1, ROW(category!$D$2:$D$10)^0)&gt;0)*1)</f>
        <v>1</v>
      </c>
      <c r="G41" s="4" cm="1">
        <f t="array" ref="G41">SUM((MMULT(ISNUMBER(SEARCH(TRANSPOSE(category!$E$2:$E$8), A41))*1, ROW(category!$E$2:$E$8)^0)&gt;0)*1)</f>
        <v>0</v>
      </c>
      <c r="H41" s="4" cm="1">
        <f t="array" ref="H41">SUM((MMULT(ISNUMBER(SEARCH(TRANSPOSE(category!$F$2:$F$9), A41))*1, ROW(category!$F$2:$F$9)^0)&gt;0)*1)</f>
        <v>0</v>
      </c>
    </row>
    <row r="42" spans="1:8" x14ac:dyDescent="0.45">
      <c r="A42" t="s">
        <v>99</v>
      </c>
      <c r="B42" s="6">
        <f t="shared" si="0"/>
        <v>12</v>
      </c>
      <c r="C42" s="4" cm="1">
        <f t="array" ref="C42">SUM((MMULT(ISNUMBER(SEARCH(TRANSPOSE(category!$A$2:$A$11), A42))*1, ROW(category!$A$2:$A$11)^0)&gt;0)*1)</f>
        <v>1</v>
      </c>
      <c r="D42" s="4" cm="1">
        <f t="array" ref="D42">SUM((MMULT(ISNUMBER(SEARCH(TRANSPOSE(category!$B$2:$B$25), A42))*1, ROW(category!$B$2:$B$25)^0)&gt;0)*1)</f>
        <v>1</v>
      </c>
      <c r="E42" s="4" cm="1">
        <f t="array" ref="E42">SUM((MMULT(ISNUMBER(SEARCH(TRANSPOSE(category!$C$2:$C$4), A42))*1, ROW(category!$C$2:$C$4)^0)&gt;0)*1)</f>
        <v>0</v>
      </c>
      <c r="F42" s="4" cm="1">
        <f t="array" ref="F42">SUM((MMULT(ISNUMBER(SEARCH(TRANSPOSE(category!$D$2:$D$10), A42))*1, ROW(category!$D$2:$D$10)^0)&gt;0)*1)</f>
        <v>1</v>
      </c>
      <c r="G42" s="4" cm="1">
        <f t="array" ref="G42">SUM((MMULT(ISNUMBER(SEARCH(TRANSPOSE(category!$E$2:$E$8), A42))*1, ROW(category!$E$2:$E$8)^0)&gt;0)*1)</f>
        <v>0</v>
      </c>
      <c r="H42" s="4" cm="1">
        <f t="array" ref="H42">SUM((MMULT(ISNUMBER(SEARCH(TRANSPOSE(category!$F$2:$F$9), A42))*1, ROW(category!$F$2:$F$9)^0)&gt;0)*1)</f>
        <v>0</v>
      </c>
    </row>
    <row r="43" spans="1:8" x14ac:dyDescent="0.45">
      <c r="A43" t="s">
        <v>101</v>
      </c>
      <c r="B43" s="6">
        <f t="shared" si="0"/>
        <v>41</v>
      </c>
      <c r="C43" s="4" cm="1">
        <f t="array" ref="C43">SUM((MMULT(ISNUMBER(SEARCH(TRANSPOSE(category!$A$2:$A$11), A43))*1, ROW(category!$A$2:$A$11)^0)&gt;0)*1)</f>
        <v>1</v>
      </c>
      <c r="D43" s="4" cm="1">
        <f t="array" ref="D43">SUM((MMULT(ISNUMBER(SEARCH(TRANSPOSE(category!$B$2:$B$25), A43))*1, ROW(category!$B$2:$B$25)^0)&gt;0)*1)</f>
        <v>1</v>
      </c>
      <c r="E43" s="4" cm="1">
        <f t="array" ref="E43">SUM((MMULT(ISNUMBER(SEARCH(TRANSPOSE(category!$C$2:$C$4), A43))*1, ROW(category!$C$2:$C$4)^0)&gt;0)*1)</f>
        <v>0</v>
      </c>
      <c r="F43" s="4" cm="1">
        <f t="array" ref="F43">SUM((MMULT(ISNUMBER(SEARCH(TRANSPOSE(category!$D$2:$D$10), A43))*1, ROW(category!$D$2:$D$10)^0)&gt;0)*1)</f>
        <v>1</v>
      </c>
      <c r="G43" s="4" cm="1">
        <f t="array" ref="G43">SUM((MMULT(ISNUMBER(SEARCH(TRANSPOSE(category!$E$2:$E$8), A43))*1, ROW(category!$E$2:$E$8)^0)&gt;0)*1)</f>
        <v>0</v>
      </c>
      <c r="H43" s="4" cm="1">
        <f t="array" ref="H43">SUM((MMULT(ISNUMBER(SEARCH(TRANSPOSE(category!$F$2:$F$9), A43))*1, ROW(category!$F$2:$F$9)^0)&gt;0)*1)</f>
        <v>1</v>
      </c>
    </row>
    <row r="44" spans="1:8" x14ac:dyDescent="0.45">
      <c r="A44" t="s">
        <v>103</v>
      </c>
      <c r="B44" s="6">
        <f t="shared" si="0"/>
        <v>23</v>
      </c>
      <c r="C44" s="4" cm="1">
        <f t="array" ref="C44">SUM((MMULT(ISNUMBER(SEARCH(TRANSPOSE(category!$A$2:$A$11), A44))*1, ROW(category!$A$2:$A$11)^0)&gt;0)*1)</f>
        <v>0</v>
      </c>
      <c r="D44" s="4" cm="1">
        <f t="array" ref="D44">SUM((MMULT(ISNUMBER(SEARCH(TRANSPOSE(category!$B$2:$B$25), A44))*1, ROW(category!$B$2:$B$25)^0)&gt;0)*1)</f>
        <v>1</v>
      </c>
      <c r="E44" s="4" cm="1">
        <f t="array" ref="E44">SUM((MMULT(ISNUMBER(SEARCH(TRANSPOSE(category!$C$2:$C$4), A44))*1, ROW(category!$C$2:$C$4)^0)&gt;0)*1)</f>
        <v>0</v>
      </c>
      <c r="F44" s="4" cm="1">
        <f t="array" ref="F44">SUM((MMULT(ISNUMBER(SEARCH(TRANSPOSE(category!$D$2:$D$10), A44))*1, ROW(category!$D$2:$D$10)^0)&gt;0)*1)</f>
        <v>0</v>
      </c>
      <c r="G44" s="4" cm="1">
        <f t="array" ref="G44">SUM((MMULT(ISNUMBER(SEARCH(TRANSPOSE(category!$E$2:$E$8), A44))*1, ROW(category!$E$2:$E$8)^0)&gt;0)*1)</f>
        <v>0</v>
      </c>
      <c r="H44" s="4" cm="1">
        <f t="array" ref="H44">SUM((MMULT(ISNUMBER(SEARCH(TRANSPOSE(category!$F$2:$F$9), A44))*1, ROW(category!$F$2:$F$9)^0)&gt;0)*1)</f>
        <v>0</v>
      </c>
    </row>
    <row r="45" spans="1:8" x14ac:dyDescent="0.45">
      <c r="A45" t="s">
        <v>105</v>
      </c>
      <c r="B45" s="6">
        <f t="shared" si="0"/>
        <v>43</v>
      </c>
      <c r="C45" s="4" cm="1">
        <f t="array" ref="C45">SUM((MMULT(ISNUMBER(SEARCH(TRANSPOSE(category!$A$2:$A$11), A45))*1, ROW(category!$A$2:$A$11)^0)&gt;0)*1)</f>
        <v>0</v>
      </c>
      <c r="D45" s="4" cm="1">
        <f t="array" ref="D45">SUM((MMULT(ISNUMBER(SEARCH(TRANSPOSE(category!$B$2:$B$25), A45))*1, ROW(category!$B$2:$B$25)^0)&gt;0)*1)</f>
        <v>1</v>
      </c>
      <c r="E45" s="4" cm="1">
        <f t="array" ref="E45">SUM((MMULT(ISNUMBER(SEARCH(TRANSPOSE(category!$C$2:$C$4), A45))*1, ROW(category!$C$2:$C$4)^0)&gt;0)*1)</f>
        <v>0</v>
      </c>
      <c r="F45" s="4" cm="1">
        <f t="array" ref="F45">SUM((MMULT(ISNUMBER(SEARCH(TRANSPOSE(category!$D$2:$D$10), A45))*1, ROW(category!$D$2:$D$10)^0)&gt;0)*1)</f>
        <v>1</v>
      </c>
      <c r="G45" s="4" cm="1">
        <f t="array" ref="G45">SUM((MMULT(ISNUMBER(SEARCH(TRANSPOSE(category!$E$2:$E$8), A45))*1, ROW(category!$E$2:$E$8)^0)&gt;0)*1)</f>
        <v>0</v>
      </c>
      <c r="H45" s="4" cm="1">
        <f t="array" ref="H45">SUM((MMULT(ISNUMBER(SEARCH(TRANSPOSE(category!$F$2:$F$9), A45))*1, ROW(category!$F$2:$F$9)^0)&gt;0)*1)</f>
        <v>0</v>
      </c>
    </row>
    <row r="46" spans="1:8" x14ac:dyDescent="0.45">
      <c r="A46" t="s">
        <v>107</v>
      </c>
      <c r="B46" s="6">
        <f t="shared" si="0"/>
        <v>44</v>
      </c>
      <c r="C46" s="4" cm="1">
        <f t="array" ref="C46">SUM((MMULT(ISNUMBER(SEARCH(TRANSPOSE(category!$A$2:$A$11), A46))*1, ROW(category!$A$2:$A$11)^0)&gt;0)*1)</f>
        <v>0</v>
      </c>
      <c r="D46" s="4" cm="1">
        <f t="array" ref="D46">SUM((MMULT(ISNUMBER(SEARCH(TRANSPOSE(category!$B$2:$B$25), A46))*1, ROW(category!$B$2:$B$25)^0)&gt;0)*1)</f>
        <v>1</v>
      </c>
      <c r="E46" s="4" cm="1">
        <f t="array" ref="E46">SUM((MMULT(ISNUMBER(SEARCH(TRANSPOSE(category!$C$2:$C$4), A46))*1, ROW(category!$C$2:$C$4)^0)&gt;0)*1)</f>
        <v>0</v>
      </c>
      <c r="F46" s="4" cm="1">
        <f t="array" ref="F46">SUM((MMULT(ISNUMBER(SEARCH(TRANSPOSE(category!$D$2:$D$10), A46))*1, ROW(category!$D$2:$D$10)^0)&gt;0)*1)</f>
        <v>0</v>
      </c>
      <c r="G46" s="4" cm="1">
        <f t="array" ref="G46">SUM((MMULT(ISNUMBER(SEARCH(TRANSPOSE(category!$E$2:$E$8), A46))*1, ROW(category!$E$2:$E$8)^0)&gt;0)*1)</f>
        <v>0</v>
      </c>
      <c r="H46" s="4" cm="1">
        <f t="array" ref="H46">SUM((MMULT(ISNUMBER(SEARCH(TRANSPOSE(category!$F$2:$F$9), A46))*1, ROW(category!$F$2:$F$9)^0)&gt;0)*1)</f>
        <v>0</v>
      </c>
    </row>
    <row r="47" spans="1:8" x14ac:dyDescent="0.45">
      <c r="A47" t="s">
        <v>109</v>
      </c>
      <c r="B47" s="6">
        <f t="shared" si="0"/>
        <v>6</v>
      </c>
      <c r="C47" s="4" cm="1">
        <f t="array" ref="C47">SUM((MMULT(ISNUMBER(SEARCH(TRANSPOSE(category!$A$2:$A$11), A47))*1, ROW(category!$A$2:$A$11)^0)&gt;0)*1)</f>
        <v>0</v>
      </c>
      <c r="D47" s="4" cm="1">
        <f t="array" ref="D47">SUM((MMULT(ISNUMBER(SEARCH(TRANSPOSE(category!$B$2:$B$25), A47))*1, ROW(category!$B$2:$B$25)^0)&gt;0)*1)</f>
        <v>1</v>
      </c>
      <c r="E47" s="4" cm="1">
        <f t="array" ref="E47">SUM((MMULT(ISNUMBER(SEARCH(TRANSPOSE(category!$C$2:$C$4), A47))*1, ROW(category!$C$2:$C$4)^0)&gt;0)*1)</f>
        <v>0</v>
      </c>
      <c r="F47" s="4" cm="1">
        <f t="array" ref="F47">SUM((MMULT(ISNUMBER(SEARCH(TRANSPOSE(category!$D$2:$D$10), A47))*1, ROW(category!$D$2:$D$10)^0)&gt;0)*1)</f>
        <v>0</v>
      </c>
      <c r="G47" s="4" cm="1">
        <f t="array" ref="G47">SUM((MMULT(ISNUMBER(SEARCH(TRANSPOSE(category!$E$2:$E$8), A47))*1, ROW(category!$E$2:$E$8)^0)&gt;0)*1)</f>
        <v>0</v>
      </c>
      <c r="H47" s="4" cm="1">
        <f t="array" ref="H47">SUM((MMULT(ISNUMBER(SEARCH(TRANSPOSE(category!$F$2:$F$9), A47))*1, ROW(category!$F$2:$F$9)^0)&gt;0)*1)</f>
        <v>0</v>
      </c>
    </row>
    <row r="48" spans="1:8" x14ac:dyDescent="0.45">
      <c r="A48" t="s">
        <v>111</v>
      </c>
      <c r="B48" s="6">
        <f t="shared" si="0"/>
        <v>8</v>
      </c>
      <c r="C48" s="4" cm="1">
        <f t="array" ref="C48">SUM((MMULT(ISNUMBER(SEARCH(TRANSPOSE(category!$A$2:$A$11), A48))*1, ROW(category!$A$2:$A$11)^0)&gt;0)*1)</f>
        <v>0</v>
      </c>
      <c r="D48" s="4" cm="1">
        <f t="array" ref="D48">SUM((MMULT(ISNUMBER(SEARCH(TRANSPOSE(category!$B$2:$B$25), A48))*1, ROW(category!$B$2:$B$25)^0)&gt;0)*1)</f>
        <v>1</v>
      </c>
      <c r="E48" s="4" cm="1">
        <f t="array" ref="E48">SUM((MMULT(ISNUMBER(SEARCH(TRANSPOSE(category!$C$2:$C$4), A48))*1, ROW(category!$C$2:$C$4)^0)&gt;0)*1)</f>
        <v>0</v>
      </c>
      <c r="F48" s="4" cm="1">
        <f t="array" ref="F48">SUM((MMULT(ISNUMBER(SEARCH(TRANSPOSE(category!$D$2:$D$10), A48))*1, ROW(category!$D$2:$D$10)^0)&gt;0)*1)</f>
        <v>0</v>
      </c>
      <c r="G48" s="4" cm="1">
        <f t="array" ref="G48">SUM((MMULT(ISNUMBER(SEARCH(TRANSPOSE(category!$E$2:$E$8), A48))*1, ROW(category!$E$2:$E$8)^0)&gt;0)*1)</f>
        <v>0</v>
      </c>
      <c r="H48" s="4" cm="1">
        <f t="array" ref="H48">SUM((MMULT(ISNUMBER(SEARCH(TRANSPOSE(category!$F$2:$F$9), A48))*1, ROW(category!$F$2:$F$9)^0)&gt;0)*1)</f>
        <v>0</v>
      </c>
    </row>
    <row r="49" spans="1:8" x14ac:dyDescent="0.45">
      <c r="A49" t="s">
        <v>113</v>
      </c>
      <c r="B49" s="6">
        <f t="shared" si="0"/>
        <v>9</v>
      </c>
      <c r="C49" s="4" cm="1">
        <f t="array" ref="C49">SUM((MMULT(ISNUMBER(SEARCH(TRANSPOSE(category!$A$2:$A$11), A49))*1, ROW(category!$A$2:$A$11)^0)&gt;0)*1)</f>
        <v>0</v>
      </c>
      <c r="D49" s="4" cm="1">
        <f t="array" ref="D49">SUM((MMULT(ISNUMBER(SEARCH(TRANSPOSE(category!$B$2:$B$25), A49))*1, ROW(category!$B$2:$B$25)^0)&gt;0)*1)</f>
        <v>1</v>
      </c>
      <c r="E49" s="4" cm="1">
        <f t="array" ref="E49">SUM((MMULT(ISNUMBER(SEARCH(TRANSPOSE(category!$C$2:$C$4), A49))*1, ROW(category!$C$2:$C$4)^0)&gt;0)*1)</f>
        <v>0</v>
      </c>
      <c r="F49" s="4" cm="1">
        <f t="array" ref="F49">SUM((MMULT(ISNUMBER(SEARCH(TRANSPOSE(category!$D$2:$D$10), A49))*1, ROW(category!$D$2:$D$10)^0)&gt;0)*1)</f>
        <v>1</v>
      </c>
      <c r="G49" s="4" cm="1">
        <f t="array" ref="G49">SUM((MMULT(ISNUMBER(SEARCH(TRANSPOSE(category!$E$2:$E$8), A49))*1, ROW(category!$E$2:$E$8)^0)&gt;0)*1)</f>
        <v>0</v>
      </c>
      <c r="H49" s="4" cm="1">
        <f t="array" ref="H49">SUM((MMULT(ISNUMBER(SEARCH(TRANSPOSE(category!$F$2:$F$9), A49))*1, ROW(category!$F$2:$F$9)^0)&gt;0)*1)</f>
        <v>0</v>
      </c>
    </row>
    <row r="50" spans="1:8" x14ac:dyDescent="0.45">
      <c r="A50" t="s">
        <v>115</v>
      </c>
      <c r="B50" s="6">
        <f t="shared" si="0"/>
        <v>9</v>
      </c>
      <c r="C50" s="4" cm="1">
        <f t="array" ref="C50">SUM((MMULT(ISNUMBER(SEARCH(TRANSPOSE(category!$A$2:$A$11), A50))*1, ROW(category!$A$2:$A$11)^0)&gt;0)*1)</f>
        <v>0</v>
      </c>
      <c r="D50" s="4" cm="1">
        <f t="array" ref="D50">SUM((MMULT(ISNUMBER(SEARCH(TRANSPOSE(category!$B$2:$B$25), A50))*1, ROW(category!$B$2:$B$25)^0)&gt;0)*1)</f>
        <v>1</v>
      </c>
      <c r="E50" s="4" cm="1">
        <f t="array" ref="E50">SUM((MMULT(ISNUMBER(SEARCH(TRANSPOSE(category!$C$2:$C$4), A50))*1, ROW(category!$C$2:$C$4)^0)&gt;0)*1)</f>
        <v>0</v>
      </c>
      <c r="F50" s="4" cm="1">
        <f t="array" ref="F50">SUM((MMULT(ISNUMBER(SEARCH(TRANSPOSE(category!$D$2:$D$10), A50))*1, ROW(category!$D$2:$D$10)^0)&gt;0)*1)</f>
        <v>1</v>
      </c>
      <c r="G50" s="4" cm="1">
        <f t="array" ref="G50">SUM((MMULT(ISNUMBER(SEARCH(TRANSPOSE(category!$E$2:$E$8), A50))*1, ROW(category!$E$2:$E$8)^0)&gt;0)*1)</f>
        <v>0</v>
      </c>
      <c r="H50" s="4" cm="1">
        <f t="array" ref="H50">SUM((MMULT(ISNUMBER(SEARCH(TRANSPOSE(category!$F$2:$F$9), A50))*1, ROW(category!$F$2:$F$9)^0)&gt;0)*1)</f>
        <v>0</v>
      </c>
    </row>
    <row r="51" spans="1:8" x14ac:dyDescent="0.45">
      <c r="A51" t="s">
        <v>117</v>
      </c>
      <c r="B51" s="6">
        <f t="shared" si="0"/>
        <v>13</v>
      </c>
      <c r="C51" s="4" cm="1">
        <f t="array" ref="C51">SUM((MMULT(ISNUMBER(SEARCH(TRANSPOSE(category!$A$2:$A$11), A51))*1, ROW(category!$A$2:$A$11)^0)&gt;0)*1)</f>
        <v>1</v>
      </c>
      <c r="D51" s="4" cm="1">
        <f t="array" ref="D51">SUM((MMULT(ISNUMBER(SEARCH(TRANSPOSE(category!$B$2:$B$25), A51))*1, ROW(category!$B$2:$B$25)^0)&gt;0)*1)</f>
        <v>1</v>
      </c>
      <c r="E51" s="4" cm="1">
        <f t="array" ref="E51">SUM((MMULT(ISNUMBER(SEARCH(TRANSPOSE(category!$C$2:$C$4), A51))*1, ROW(category!$C$2:$C$4)^0)&gt;0)*1)</f>
        <v>0</v>
      </c>
      <c r="F51" s="4" cm="1">
        <f t="array" ref="F51">SUM((MMULT(ISNUMBER(SEARCH(TRANSPOSE(category!$D$2:$D$10), A51))*1, ROW(category!$D$2:$D$10)^0)&gt;0)*1)</f>
        <v>1</v>
      </c>
      <c r="G51" s="4" cm="1">
        <f t="array" ref="G51">SUM((MMULT(ISNUMBER(SEARCH(TRANSPOSE(category!$E$2:$E$8), A51))*1, ROW(category!$E$2:$E$8)^0)&gt;0)*1)</f>
        <v>0</v>
      </c>
      <c r="H51" s="4" cm="1">
        <f t="array" ref="H51">SUM((MMULT(ISNUMBER(SEARCH(TRANSPOSE(category!$F$2:$F$9), A51))*1, ROW(category!$F$2:$F$9)^0)&gt;0)*1)</f>
        <v>0</v>
      </c>
    </row>
    <row r="52" spans="1:8" x14ac:dyDescent="0.45">
      <c r="A52" t="s">
        <v>119</v>
      </c>
      <c r="B52" s="6">
        <f t="shared" si="0"/>
        <v>7</v>
      </c>
      <c r="C52" s="4" cm="1">
        <f t="array" ref="C52">SUM((MMULT(ISNUMBER(SEARCH(TRANSPOSE(category!$A$2:$A$11), A52))*1, ROW(category!$A$2:$A$11)^0)&gt;0)*1)</f>
        <v>0</v>
      </c>
      <c r="D52" s="4" cm="1">
        <f t="array" ref="D52">SUM((MMULT(ISNUMBER(SEARCH(TRANSPOSE(category!$B$2:$B$25), A52))*1, ROW(category!$B$2:$B$25)^0)&gt;0)*1)</f>
        <v>1</v>
      </c>
      <c r="E52" s="4" cm="1">
        <f t="array" ref="E52">SUM((MMULT(ISNUMBER(SEARCH(TRANSPOSE(category!$C$2:$C$4), A52))*1, ROW(category!$C$2:$C$4)^0)&gt;0)*1)</f>
        <v>0</v>
      </c>
      <c r="F52" s="4" cm="1">
        <f t="array" ref="F52">SUM((MMULT(ISNUMBER(SEARCH(TRANSPOSE(category!$D$2:$D$10), A52))*1, ROW(category!$D$2:$D$10)^0)&gt;0)*1)</f>
        <v>0</v>
      </c>
      <c r="G52" s="4" cm="1">
        <f t="array" ref="G52">SUM((MMULT(ISNUMBER(SEARCH(TRANSPOSE(category!$E$2:$E$8), A52))*1, ROW(category!$E$2:$E$8)^0)&gt;0)*1)</f>
        <v>0</v>
      </c>
      <c r="H52" s="4" cm="1">
        <f t="array" ref="H52">SUM((MMULT(ISNUMBER(SEARCH(TRANSPOSE(category!$F$2:$F$9), A52))*1, ROW(category!$F$2:$F$9)^0)&gt;0)*1)</f>
        <v>0</v>
      </c>
    </row>
    <row r="53" spans="1:8" x14ac:dyDescent="0.45">
      <c r="A53" t="s">
        <v>121</v>
      </c>
      <c r="B53" s="6">
        <f t="shared" si="0"/>
        <v>15</v>
      </c>
      <c r="C53" s="4" cm="1">
        <f t="array" ref="C53">SUM((MMULT(ISNUMBER(SEARCH(TRANSPOSE(category!$A$2:$A$11), A53))*1, ROW(category!$A$2:$A$11)^0)&gt;0)*1)</f>
        <v>0</v>
      </c>
      <c r="D53" s="4" cm="1">
        <f t="array" ref="D53">SUM((MMULT(ISNUMBER(SEARCH(TRANSPOSE(category!$B$2:$B$25), A53))*1, ROW(category!$B$2:$B$25)^0)&gt;0)*1)</f>
        <v>1</v>
      </c>
      <c r="E53" s="4" cm="1">
        <f t="array" ref="E53">SUM((MMULT(ISNUMBER(SEARCH(TRANSPOSE(category!$C$2:$C$4), A53))*1, ROW(category!$C$2:$C$4)^0)&gt;0)*1)</f>
        <v>0</v>
      </c>
      <c r="F53" s="4" cm="1">
        <f t="array" ref="F53">SUM((MMULT(ISNUMBER(SEARCH(TRANSPOSE(category!$D$2:$D$10), A53))*1, ROW(category!$D$2:$D$10)^0)&gt;0)*1)</f>
        <v>1</v>
      </c>
      <c r="G53" s="4" cm="1">
        <f t="array" ref="G53">SUM((MMULT(ISNUMBER(SEARCH(TRANSPOSE(category!$E$2:$E$8), A53))*1, ROW(category!$E$2:$E$8)^0)&gt;0)*1)</f>
        <v>0</v>
      </c>
      <c r="H53" s="4" cm="1">
        <f t="array" ref="H53">SUM((MMULT(ISNUMBER(SEARCH(TRANSPOSE(category!$F$2:$F$9), A53))*1, ROW(category!$F$2:$F$9)^0)&gt;0)*1)</f>
        <v>0</v>
      </c>
    </row>
    <row r="54" spans="1:8" x14ac:dyDescent="0.45">
      <c r="A54" t="s">
        <v>123</v>
      </c>
      <c r="B54" s="6">
        <f t="shared" si="0"/>
        <v>20</v>
      </c>
      <c r="C54" s="4" cm="1">
        <f t="array" ref="C54">SUM((MMULT(ISNUMBER(SEARCH(TRANSPOSE(category!$A$2:$A$11), A54))*1, ROW(category!$A$2:$A$11)^0)&gt;0)*1)</f>
        <v>0</v>
      </c>
      <c r="D54" s="4" cm="1">
        <f t="array" ref="D54">SUM((MMULT(ISNUMBER(SEARCH(TRANSPOSE(category!$B$2:$B$25), A54))*1, ROW(category!$B$2:$B$25)^0)&gt;0)*1)</f>
        <v>1</v>
      </c>
      <c r="E54" s="4" cm="1">
        <f t="array" ref="E54">SUM((MMULT(ISNUMBER(SEARCH(TRANSPOSE(category!$C$2:$C$4), A54))*1, ROW(category!$C$2:$C$4)^0)&gt;0)*1)</f>
        <v>0</v>
      </c>
      <c r="F54" s="4" cm="1">
        <f t="array" ref="F54">SUM((MMULT(ISNUMBER(SEARCH(TRANSPOSE(category!$D$2:$D$10), A54))*1, ROW(category!$D$2:$D$10)^0)&gt;0)*1)</f>
        <v>0</v>
      </c>
      <c r="G54" s="4" cm="1">
        <f t="array" ref="G54">SUM((MMULT(ISNUMBER(SEARCH(TRANSPOSE(category!$E$2:$E$8), A54))*1, ROW(category!$E$2:$E$8)^0)&gt;0)*1)</f>
        <v>0</v>
      </c>
      <c r="H54" s="4" cm="1">
        <f t="array" ref="H54">SUM((MMULT(ISNUMBER(SEARCH(TRANSPOSE(category!$F$2:$F$9), A54))*1, ROW(category!$F$2:$F$9)^0)&gt;0)*1)</f>
        <v>0</v>
      </c>
    </row>
    <row r="55" spans="1:8" x14ac:dyDescent="0.45">
      <c r="A55" t="s">
        <v>125</v>
      </c>
      <c r="B55" s="6">
        <f t="shared" si="0"/>
        <v>10</v>
      </c>
      <c r="C55" s="4" cm="1">
        <f t="array" ref="C55">SUM((MMULT(ISNUMBER(SEARCH(TRANSPOSE(category!$A$2:$A$11), A55))*1, ROW(category!$A$2:$A$11)^0)&gt;0)*1)</f>
        <v>0</v>
      </c>
      <c r="D55" s="4" cm="1">
        <f t="array" ref="D55">SUM((MMULT(ISNUMBER(SEARCH(TRANSPOSE(category!$B$2:$B$25), A55))*1, ROW(category!$B$2:$B$25)^0)&gt;0)*1)</f>
        <v>1</v>
      </c>
      <c r="E55" s="4" cm="1">
        <f t="array" ref="E55">SUM((MMULT(ISNUMBER(SEARCH(TRANSPOSE(category!$C$2:$C$4), A55))*1, ROW(category!$C$2:$C$4)^0)&gt;0)*1)</f>
        <v>0</v>
      </c>
      <c r="F55" s="4" cm="1">
        <f t="array" ref="F55">SUM((MMULT(ISNUMBER(SEARCH(TRANSPOSE(category!$D$2:$D$10), A55))*1, ROW(category!$D$2:$D$10)^0)&gt;0)*1)</f>
        <v>0</v>
      </c>
      <c r="G55" s="4" cm="1">
        <f t="array" ref="G55">SUM((MMULT(ISNUMBER(SEARCH(TRANSPOSE(category!$E$2:$E$8), A55))*1, ROW(category!$E$2:$E$8)^0)&gt;0)*1)</f>
        <v>0</v>
      </c>
      <c r="H55" s="4" cm="1">
        <f t="array" ref="H55">SUM((MMULT(ISNUMBER(SEARCH(TRANSPOSE(category!$F$2:$F$9), A55))*1, ROW(category!$F$2:$F$9)^0)&gt;0)*1)</f>
        <v>0</v>
      </c>
    </row>
    <row r="56" spans="1:8" x14ac:dyDescent="0.45">
      <c r="A56" t="s">
        <v>127</v>
      </c>
      <c r="B56" s="6">
        <f t="shared" si="0"/>
        <v>39</v>
      </c>
      <c r="C56" s="4" cm="1">
        <f t="array" ref="C56">SUM((MMULT(ISNUMBER(SEARCH(TRANSPOSE(category!$A$2:$A$11), A56))*1, ROW(category!$A$2:$A$11)^0)&gt;0)*1)</f>
        <v>0</v>
      </c>
      <c r="D56" s="4" cm="1">
        <f t="array" ref="D56">SUM((MMULT(ISNUMBER(SEARCH(TRANSPOSE(category!$B$2:$B$25), A56))*1, ROW(category!$B$2:$B$25)^0)&gt;0)*1)</f>
        <v>1</v>
      </c>
      <c r="E56" s="4" cm="1">
        <f t="array" ref="E56">SUM((MMULT(ISNUMBER(SEARCH(TRANSPOSE(category!$C$2:$C$4), A56))*1, ROW(category!$C$2:$C$4)^0)&gt;0)*1)</f>
        <v>0</v>
      </c>
      <c r="F56" s="4" cm="1">
        <f t="array" ref="F56">SUM((MMULT(ISNUMBER(SEARCH(TRANSPOSE(category!$D$2:$D$10), A56))*1, ROW(category!$D$2:$D$10)^0)&gt;0)*1)</f>
        <v>1</v>
      </c>
      <c r="G56" s="4" cm="1">
        <f t="array" ref="G56">SUM((MMULT(ISNUMBER(SEARCH(TRANSPOSE(category!$E$2:$E$8), A56))*1, ROW(category!$E$2:$E$8)^0)&gt;0)*1)</f>
        <v>1</v>
      </c>
      <c r="H56" s="4" cm="1">
        <f t="array" ref="H56">SUM((MMULT(ISNUMBER(SEARCH(TRANSPOSE(category!$F$2:$F$9), A56))*1, ROW(category!$F$2:$F$9)^0)&gt;0)*1)</f>
        <v>0</v>
      </c>
    </row>
    <row r="57" spans="1:8" x14ac:dyDescent="0.45">
      <c r="A57" t="s">
        <v>130</v>
      </c>
      <c r="B57" s="6">
        <f t="shared" si="0"/>
        <v>5</v>
      </c>
      <c r="C57" s="4" cm="1">
        <f t="array" ref="C57">SUM((MMULT(ISNUMBER(SEARCH(TRANSPOSE(category!$A$2:$A$11), A57))*1, ROW(category!$A$2:$A$11)^0)&gt;0)*1)</f>
        <v>0</v>
      </c>
      <c r="D57" s="4" cm="1">
        <f t="array" ref="D57">SUM((MMULT(ISNUMBER(SEARCH(TRANSPOSE(category!$B$2:$B$25), A57))*1, ROW(category!$B$2:$B$25)^0)&gt;0)*1)</f>
        <v>1</v>
      </c>
      <c r="E57" s="4" cm="1">
        <f t="array" ref="E57">SUM((MMULT(ISNUMBER(SEARCH(TRANSPOSE(category!$C$2:$C$4), A57))*1, ROW(category!$C$2:$C$4)^0)&gt;0)*1)</f>
        <v>0</v>
      </c>
      <c r="F57" s="4" cm="1">
        <f t="array" ref="F57">SUM((MMULT(ISNUMBER(SEARCH(TRANSPOSE(category!$D$2:$D$10), A57))*1, ROW(category!$D$2:$D$10)^0)&gt;0)*1)</f>
        <v>0</v>
      </c>
      <c r="G57" s="4" cm="1">
        <f t="array" ref="G57">SUM((MMULT(ISNUMBER(SEARCH(TRANSPOSE(category!$E$2:$E$8), A57))*1, ROW(category!$E$2:$E$8)^0)&gt;0)*1)</f>
        <v>0</v>
      </c>
      <c r="H57" s="4" cm="1">
        <f t="array" ref="H57">SUM((MMULT(ISNUMBER(SEARCH(TRANSPOSE(category!$F$2:$F$9), A57))*1, ROW(category!$F$2:$F$9)^0)&gt;0)*1)</f>
        <v>0</v>
      </c>
    </row>
    <row r="58" spans="1:8" x14ac:dyDescent="0.45">
      <c r="A58" t="s">
        <v>132</v>
      </c>
      <c r="B58" s="6">
        <f t="shared" si="0"/>
        <v>59</v>
      </c>
      <c r="C58" s="4" cm="1">
        <f t="array" ref="C58">SUM((MMULT(ISNUMBER(SEARCH(TRANSPOSE(category!$A$2:$A$11), A58))*1, ROW(category!$A$2:$A$11)^0)&gt;0)*1)</f>
        <v>0</v>
      </c>
      <c r="D58" s="4" cm="1">
        <f t="array" ref="D58">SUM((MMULT(ISNUMBER(SEARCH(TRANSPOSE(category!$B$2:$B$25), A58))*1, ROW(category!$B$2:$B$25)^0)&gt;0)*1)</f>
        <v>1</v>
      </c>
      <c r="E58" s="4" cm="1">
        <f t="array" ref="E58">SUM((MMULT(ISNUMBER(SEARCH(TRANSPOSE(category!$C$2:$C$4), A58))*1, ROW(category!$C$2:$C$4)^0)&gt;0)*1)</f>
        <v>0</v>
      </c>
      <c r="F58" s="4" cm="1">
        <f t="array" ref="F58">SUM((MMULT(ISNUMBER(SEARCH(TRANSPOSE(category!$D$2:$D$10), A58))*1, ROW(category!$D$2:$D$10)^0)&gt;0)*1)</f>
        <v>1</v>
      </c>
      <c r="G58" s="4" cm="1">
        <f t="array" ref="G58">SUM((MMULT(ISNUMBER(SEARCH(TRANSPOSE(category!$E$2:$E$8), A58))*1, ROW(category!$E$2:$E$8)^0)&gt;0)*1)</f>
        <v>0</v>
      </c>
      <c r="H58" s="4" cm="1">
        <f t="array" ref="H58">SUM((MMULT(ISNUMBER(SEARCH(TRANSPOSE(category!$F$2:$F$9), A58))*1, ROW(category!$F$2:$F$9)^0)&gt;0)*1)</f>
        <v>1</v>
      </c>
    </row>
    <row r="59" spans="1:8" x14ac:dyDescent="0.45">
      <c r="A59" t="s">
        <v>134</v>
      </c>
      <c r="B59" s="6">
        <f t="shared" si="0"/>
        <v>32</v>
      </c>
      <c r="C59" s="4" cm="1">
        <f t="array" ref="C59">SUM((MMULT(ISNUMBER(SEARCH(TRANSPOSE(category!$A$2:$A$11), A59))*1, ROW(category!$A$2:$A$11)^0)&gt;0)*1)</f>
        <v>1</v>
      </c>
      <c r="D59" s="4" cm="1">
        <f t="array" ref="D59">SUM((MMULT(ISNUMBER(SEARCH(TRANSPOSE(category!$B$2:$B$25), A59))*1, ROW(category!$B$2:$B$25)^0)&gt;0)*1)</f>
        <v>1</v>
      </c>
      <c r="E59" s="4" cm="1">
        <f t="array" ref="E59">SUM((MMULT(ISNUMBER(SEARCH(TRANSPOSE(category!$C$2:$C$4), A59))*1, ROW(category!$C$2:$C$4)^0)&gt;0)*1)</f>
        <v>0</v>
      </c>
      <c r="F59" s="4" cm="1">
        <f t="array" ref="F59">SUM((MMULT(ISNUMBER(SEARCH(TRANSPOSE(category!$D$2:$D$10), A59))*1, ROW(category!$D$2:$D$10)^0)&gt;0)*1)</f>
        <v>1</v>
      </c>
      <c r="G59" s="4" cm="1">
        <f t="array" ref="G59">SUM((MMULT(ISNUMBER(SEARCH(TRANSPOSE(category!$E$2:$E$8), A59))*1, ROW(category!$E$2:$E$8)^0)&gt;0)*1)</f>
        <v>1</v>
      </c>
      <c r="H59" s="4" cm="1">
        <f t="array" ref="H59">SUM((MMULT(ISNUMBER(SEARCH(TRANSPOSE(category!$F$2:$F$9), A59))*1, ROW(category!$F$2:$F$9)^0)&gt;0)*1)</f>
        <v>0</v>
      </c>
    </row>
    <row r="60" spans="1:8" x14ac:dyDescent="0.45">
      <c r="A60" t="s">
        <v>136</v>
      </c>
      <c r="B60" s="6">
        <f t="shared" si="0"/>
        <v>10</v>
      </c>
      <c r="C60" s="4" cm="1">
        <f t="array" ref="C60">SUM((MMULT(ISNUMBER(SEARCH(TRANSPOSE(category!$A$2:$A$11), A60))*1, ROW(category!$A$2:$A$11)^0)&gt;0)*1)</f>
        <v>0</v>
      </c>
      <c r="D60" s="4" cm="1">
        <f t="array" ref="D60">SUM((MMULT(ISNUMBER(SEARCH(TRANSPOSE(category!$B$2:$B$25), A60))*1, ROW(category!$B$2:$B$25)^0)&gt;0)*1)</f>
        <v>1</v>
      </c>
      <c r="E60" s="4" cm="1">
        <f t="array" ref="E60">SUM((MMULT(ISNUMBER(SEARCH(TRANSPOSE(category!$C$2:$C$4), A60))*1, ROW(category!$C$2:$C$4)^0)&gt;0)*1)</f>
        <v>0</v>
      </c>
      <c r="F60" s="4" cm="1">
        <f t="array" ref="F60">SUM((MMULT(ISNUMBER(SEARCH(TRANSPOSE(category!$D$2:$D$10), A60))*1, ROW(category!$D$2:$D$10)^0)&gt;0)*1)</f>
        <v>1</v>
      </c>
      <c r="G60" s="4" cm="1">
        <f t="array" ref="G60">SUM((MMULT(ISNUMBER(SEARCH(TRANSPOSE(category!$E$2:$E$8), A60))*1, ROW(category!$E$2:$E$8)^0)&gt;0)*1)</f>
        <v>0</v>
      </c>
      <c r="H60" s="4" cm="1">
        <f t="array" ref="H60">SUM((MMULT(ISNUMBER(SEARCH(TRANSPOSE(category!$F$2:$F$9), A60))*1, ROW(category!$F$2:$F$9)^0)&gt;0)*1)</f>
        <v>1</v>
      </c>
    </row>
    <row r="61" spans="1:8" x14ac:dyDescent="0.45">
      <c r="A61" t="s">
        <v>139</v>
      </c>
      <c r="B61" s="6">
        <f t="shared" si="0"/>
        <v>6</v>
      </c>
      <c r="C61" s="4" cm="1">
        <f t="array" ref="C61">SUM((MMULT(ISNUMBER(SEARCH(TRANSPOSE(category!$A$2:$A$11), A61))*1, ROW(category!$A$2:$A$11)^0)&gt;0)*1)</f>
        <v>0</v>
      </c>
      <c r="D61" s="4" cm="1">
        <f t="array" ref="D61">SUM((MMULT(ISNUMBER(SEARCH(TRANSPOSE(category!$B$2:$B$25), A61))*1, ROW(category!$B$2:$B$25)^0)&gt;0)*1)</f>
        <v>1</v>
      </c>
      <c r="E61" s="4" cm="1">
        <f t="array" ref="E61">SUM((MMULT(ISNUMBER(SEARCH(TRANSPOSE(category!$C$2:$C$4), A61))*1, ROW(category!$C$2:$C$4)^0)&gt;0)*1)</f>
        <v>0</v>
      </c>
      <c r="F61" s="4" cm="1">
        <f t="array" ref="F61">SUM((MMULT(ISNUMBER(SEARCH(TRANSPOSE(category!$D$2:$D$10), A61))*1, ROW(category!$D$2:$D$10)^0)&gt;0)*1)</f>
        <v>0</v>
      </c>
      <c r="G61" s="4" cm="1">
        <f t="array" ref="G61">SUM((MMULT(ISNUMBER(SEARCH(TRANSPOSE(category!$E$2:$E$8), A61))*1, ROW(category!$E$2:$E$8)^0)&gt;0)*1)</f>
        <v>0</v>
      </c>
      <c r="H61" s="4" cm="1">
        <f t="array" ref="H61">SUM((MMULT(ISNUMBER(SEARCH(TRANSPOSE(category!$F$2:$F$9), A61))*1, ROW(category!$F$2:$F$9)^0)&gt;0)*1)</f>
        <v>0</v>
      </c>
    </row>
    <row r="62" spans="1:8" x14ac:dyDescent="0.45">
      <c r="A62" t="s">
        <v>141</v>
      </c>
      <c r="B62" s="6">
        <f t="shared" si="0"/>
        <v>5</v>
      </c>
      <c r="C62" s="4" cm="1">
        <f t="array" ref="C62">SUM((MMULT(ISNUMBER(SEARCH(TRANSPOSE(category!$A$2:$A$11), A62))*1, ROW(category!$A$2:$A$11)^0)&gt;0)*1)</f>
        <v>0</v>
      </c>
      <c r="D62" s="4" cm="1">
        <f t="array" ref="D62">SUM((MMULT(ISNUMBER(SEARCH(TRANSPOSE(category!$B$2:$B$25), A62))*1, ROW(category!$B$2:$B$25)^0)&gt;0)*1)</f>
        <v>1</v>
      </c>
      <c r="E62" s="4" cm="1">
        <f t="array" ref="E62">SUM((MMULT(ISNUMBER(SEARCH(TRANSPOSE(category!$C$2:$C$4), A62))*1, ROW(category!$C$2:$C$4)^0)&gt;0)*1)</f>
        <v>0</v>
      </c>
      <c r="F62" s="4" cm="1">
        <f t="array" ref="F62">SUM((MMULT(ISNUMBER(SEARCH(TRANSPOSE(category!$D$2:$D$10), A62))*1, ROW(category!$D$2:$D$10)^0)&gt;0)*1)</f>
        <v>0</v>
      </c>
      <c r="G62" s="4" cm="1">
        <f t="array" ref="G62">SUM((MMULT(ISNUMBER(SEARCH(TRANSPOSE(category!$E$2:$E$8), A62))*1, ROW(category!$E$2:$E$8)^0)&gt;0)*1)</f>
        <v>0</v>
      </c>
      <c r="H62" s="4" cm="1">
        <f t="array" ref="H62">SUM((MMULT(ISNUMBER(SEARCH(TRANSPOSE(category!$F$2:$F$9), A62))*1, ROW(category!$F$2:$F$9)^0)&gt;0)*1)</f>
        <v>0</v>
      </c>
    </row>
    <row r="63" spans="1:8" x14ac:dyDescent="0.45">
      <c r="A63" t="s">
        <v>144</v>
      </c>
      <c r="B63" s="6">
        <f t="shared" si="0"/>
        <v>11</v>
      </c>
      <c r="C63" s="4" cm="1">
        <f t="array" ref="C63">SUM((MMULT(ISNUMBER(SEARCH(TRANSPOSE(category!$A$2:$A$11), A63))*1, ROW(category!$A$2:$A$11)^0)&gt;0)*1)</f>
        <v>0</v>
      </c>
      <c r="D63" s="4" cm="1">
        <f t="array" ref="D63">SUM((MMULT(ISNUMBER(SEARCH(TRANSPOSE(category!$B$2:$B$25), A63))*1, ROW(category!$B$2:$B$25)^0)&gt;0)*1)</f>
        <v>1</v>
      </c>
      <c r="E63" s="4" cm="1">
        <f t="array" ref="E63">SUM((MMULT(ISNUMBER(SEARCH(TRANSPOSE(category!$C$2:$C$4), A63))*1, ROW(category!$C$2:$C$4)^0)&gt;0)*1)</f>
        <v>0</v>
      </c>
      <c r="F63" s="4" cm="1">
        <f t="array" ref="F63">SUM((MMULT(ISNUMBER(SEARCH(TRANSPOSE(category!$D$2:$D$10), A63))*1, ROW(category!$D$2:$D$10)^0)&gt;0)*1)</f>
        <v>0</v>
      </c>
      <c r="G63" s="4" cm="1">
        <f t="array" ref="G63">SUM((MMULT(ISNUMBER(SEARCH(TRANSPOSE(category!$E$2:$E$8), A63))*1, ROW(category!$E$2:$E$8)^0)&gt;0)*1)</f>
        <v>0</v>
      </c>
      <c r="H63" s="4" cm="1">
        <f t="array" ref="H63">SUM((MMULT(ISNUMBER(SEARCH(TRANSPOSE(category!$F$2:$F$9), A63))*1, ROW(category!$F$2:$F$9)^0)&gt;0)*1)</f>
        <v>0</v>
      </c>
    </row>
    <row r="64" spans="1:8" x14ac:dyDescent="0.45">
      <c r="A64" t="s">
        <v>146</v>
      </c>
      <c r="B64" s="6">
        <f t="shared" si="0"/>
        <v>14</v>
      </c>
      <c r="C64" s="4" cm="1">
        <f t="array" ref="C64">SUM((MMULT(ISNUMBER(SEARCH(TRANSPOSE(category!$A$2:$A$11), A64))*1, ROW(category!$A$2:$A$11)^0)&gt;0)*1)</f>
        <v>0</v>
      </c>
      <c r="D64" s="4" cm="1">
        <f t="array" ref="D64">SUM((MMULT(ISNUMBER(SEARCH(TRANSPOSE(category!$B$2:$B$25), A64))*1, ROW(category!$B$2:$B$25)^0)&gt;0)*1)</f>
        <v>1</v>
      </c>
      <c r="E64" s="4" cm="1">
        <f t="array" ref="E64">SUM((MMULT(ISNUMBER(SEARCH(TRANSPOSE(category!$C$2:$C$4), A64))*1, ROW(category!$C$2:$C$4)^0)&gt;0)*1)</f>
        <v>1</v>
      </c>
      <c r="F64" s="4" cm="1">
        <f t="array" ref="F64">SUM((MMULT(ISNUMBER(SEARCH(TRANSPOSE(category!$D$2:$D$10), A64))*1, ROW(category!$D$2:$D$10)^0)&gt;0)*1)</f>
        <v>1</v>
      </c>
      <c r="G64" s="4" cm="1">
        <f t="array" ref="G64">SUM((MMULT(ISNUMBER(SEARCH(TRANSPOSE(category!$E$2:$E$8), A64))*1, ROW(category!$E$2:$E$8)^0)&gt;0)*1)</f>
        <v>0</v>
      </c>
      <c r="H64" s="4" cm="1">
        <f t="array" ref="H64">SUM((MMULT(ISNUMBER(SEARCH(TRANSPOSE(category!$F$2:$F$9), A64))*1, ROW(category!$F$2:$F$9)^0)&gt;0)*1)</f>
        <v>0</v>
      </c>
    </row>
    <row r="65" spans="1:8" x14ac:dyDescent="0.45">
      <c r="A65" t="s">
        <v>148</v>
      </c>
      <c r="B65" s="6">
        <f t="shared" si="0"/>
        <v>29</v>
      </c>
      <c r="C65" s="4" cm="1">
        <f t="array" ref="C65">SUM((MMULT(ISNUMBER(SEARCH(TRANSPOSE(category!$A$2:$A$11), A65))*1, ROW(category!$A$2:$A$11)^0)&gt;0)*1)</f>
        <v>0</v>
      </c>
      <c r="D65" s="4" cm="1">
        <f t="array" ref="D65">SUM((MMULT(ISNUMBER(SEARCH(TRANSPOSE(category!$B$2:$B$25), A65))*1, ROW(category!$B$2:$B$25)^0)&gt;0)*1)</f>
        <v>1</v>
      </c>
      <c r="E65" s="4" cm="1">
        <f t="array" ref="E65">SUM((MMULT(ISNUMBER(SEARCH(TRANSPOSE(category!$C$2:$C$4), A65))*1, ROW(category!$C$2:$C$4)^0)&gt;0)*1)</f>
        <v>0</v>
      </c>
      <c r="F65" s="4" cm="1">
        <f t="array" ref="F65">SUM((MMULT(ISNUMBER(SEARCH(TRANSPOSE(category!$D$2:$D$10), A65))*1, ROW(category!$D$2:$D$10)^0)&gt;0)*1)</f>
        <v>1</v>
      </c>
      <c r="G65" s="4" cm="1">
        <f t="array" ref="G65">SUM((MMULT(ISNUMBER(SEARCH(TRANSPOSE(category!$E$2:$E$8), A65))*1, ROW(category!$E$2:$E$8)^0)&gt;0)*1)</f>
        <v>0</v>
      </c>
      <c r="H65" s="4" cm="1">
        <f t="array" ref="H65">SUM((MMULT(ISNUMBER(SEARCH(TRANSPOSE(category!$F$2:$F$9), A65))*1, ROW(category!$F$2:$F$9)^0)&gt;0)*1)</f>
        <v>1</v>
      </c>
    </row>
    <row r="66" spans="1:8" x14ac:dyDescent="0.45">
      <c r="A66" t="s">
        <v>150</v>
      </c>
      <c r="B66" s="6">
        <f t="shared" si="0"/>
        <v>8</v>
      </c>
      <c r="C66" s="4" cm="1">
        <f t="array" ref="C66">SUM((MMULT(ISNUMBER(SEARCH(TRANSPOSE(category!$A$2:$A$11), A66))*1, ROW(category!$A$2:$A$11)^0)&gt;0)*1)</f>
        <v>0</v>
      </c>
      <c r="D66" s="4" cm="1">
        <f t="array" ref="D66">SUM((MMULT(ISNUMBER(SEARCH(TRANSPOSE(category!$B$2:$B$25), A66))*1, ROW(category!$B$2:$B$25)^0)&gt;0)*1)</f>
        <v>1</v>
      </c>
      <c r="E66" s="4" cm="1">
        <f t="array" ref="E66">SUM((MMULT(ISNUMBER(SEARCH(TRANSPOSE(category!$C$2:$C$4), A66))*1, ROW(category!$C$2:$C$4)^0)&gt;0)*1)</f>
        <v>0</v>
      </c>
      <c r="F66" s="4" cm="1">
        <f t="array" ref="F66">SUM((MMULT(ISNUMBER(SEARCH(TRANSPOSE(category!$D$2:$D$10), A66))*1, ROW(category!$D$2:$D$10)^0)&gt;0)*1)</f>
        <v>0</v>
      </c>
      <c r="G66" s="4" cm="1">
        <f t="array" ref="G66">SUM((MMULT(ISNUMBER(SEARCH(TRANSPOSE(category!$E$2:$E$8), A66))*1, ROW(category!$E$2:$E$8)^0)&gt;0)*1)</f>
        <v>0</v>
      </c>
      <c r="H66" s="4" cm="1">
        <f t="array" ref="H66">SUM((MMULT(ISNUMBER(SEARCH(TRANSPOSE(category!$F$2:$F$9), A66))*1, ROW(category!$F$2:$F$9)^0)&gt;0)*1)</f>
        <v>0</v>
      </c>
    </row>
    <row r="67" spans="1:8" x14ac:dyDescent="0.45">
      <c r="A67" t="s">
        <v>152</v>
      </c>
      <c r="B67" s="6">
        <f t="shared" ref="B67:B130" si="1">LEN(A67)-LEN(SUBSTITUTE(A67," ",""))+1</f>
        <v>6</v>
      </c>
      <c r="C67" s="4" cm="1">
        <f t="array" ref="C67">SUM((MMULT(ISNUMBER(SEARCH(TRANSPOSE(category!$A$2:$A$11), A67))*1, ROW(category!$A$2:$A$11)^0)&gt;0)*1)</f>
        <v>0</v>
      </c>
      <c r="D67" s="4" cm="1">
        <f t="array" ref="D67">SUM((MMULT(ISNUMBER(SEARCH(TRANSPOSE(category!$B$2:$B$25), A67))*1, ROW(category!$B$2:$B$25)^0)&gt;0)*1)</f>
        <v>1</v>
      </c>
      <c r="E67" s="4" cm="1">
        <f t="array" ref="E67">SUM((MMULT(ISNUMBER(SEARCH(TRANSPOSE(category!$C$2:$C$4), A67))*1, ROW(category!$C$2:$C$4)^0)&gt;0)*1)</f>
        <v>0</v>
      </c>
      <c r="F67" s="4" cm="1">
        <f t="array" ref="F67">SUM((MMULT(ISNUMBER(SEARCH(TRANSPOSE(category!$D$2:$D$10), A67))*1, ROW(category!$D$2:$D$10)^0)&gt;0)*1)</f>
        <v>1</v>
      </c>
      <c r="G67" s="4" cm="1">
        <f t="array" ref="G67">SUM((MMULT(ISNUMBER(SEARCH(TRANSPOSE(category!$E$2:$E$8), A67))*1, ROW(category!$E$2:$E$8)^0)&gt;0)*1)</f>
        <v>0</v>
      </c>
      <c r="H67" s="4" cm="1">
        <f t="array" ref="H67">SUM((MMULT(ISNUMBER(SEARCH(TRANSPOSE(category!$F$2:$F$9), A67))*1, ROW(category!$F$2:$F$9)^0)&gt;0)*1)</f>
        <v>0</v>
      </c>
    </row>
    <row r="68" spans="1:8" x14ac:dyDescent="0.45">
      <c r="A68" t="s">
        <v>154</v>
      </c>
      <c r="B68" s="6">
        <f t="shared" si="1"/>
        <v>17</v>
      </c>
      <c r="C68" s="4" cm="1">
        <f t="array" ref="C68">SUM((MMULT(ISNUMBER(SEARCH(TRANSPOSE(category!$A$2:$A$11), A68))*1, ROW(category!$A$2:$A$11)^0)&gt;0)*1)</f>
        <v>0</v>
      </c>
      <c r="D68" s="4" cm="1">
        <f t="array" ref="D68">SUM((MMULT(ISNUMBER(SEARCH(TRANSPOSE(category!$B$2:$B$25), A68))*1, ROW(category!$B$2:$B$25)^0)&gt;0)*1)</f>
        <v>1</v>
      </c>
      <c r="E68" s="4" cm="1">
        <f t="array" ref="E68">SUM((MMULT(ISNUMBER(SEARCH(TRANSPOSE(category!$C$2:$C$4), A68))*1, ROW(category!$C$2:$C$4)^0)&gt;0)*1)</f>
        <v>0</v>
      </c>
      <c r="F68" s="4" cm="1">
        <f t="array" ref="F68">SUM((MMULT(ISNUMBER(SEARCH(TRANSPOSE(category!$D$2:$D$10), A68))*1, ROW(category!$D$2:$D$10)^0)&gt;0)*1)</f>
        <v>0</v>
      </c>
      <c r="G68" s="4" cm="1">
        <f t="array" ref="G68">SUM((MMULT(ISNUMBER(SEARCH(TRANSPOSE(category!$E$2:$E$8), A68))*1, ROW(category!$E$2:$E$8)^0)&gt;0)*1)</f>
        <v>0</v>
      </c>
      <c r="H68" s="4" cm="1">
        <f t="array" ref="H68">SUM((MMULT(ISNUMBER(SEARCH(TRANSPOSE(category!$F$2:$F$9), A68))*1, ROW(category!$F$2:$F$9)^0)&gt;0)*1)</f>
        <v>0</v>
      </c>
    </row>
    <row r="69" spans="1:8" x14ac:dyDescent="0.45">
      <c r="A69" t="s">
        <v>156</v>
      </c>
      <c r="B69" s="6">
        <f t="shared" si="1"/>
        <v>29</v>
      </c>
      <c r="C69" s="4" cm="1">
        <f t="array" ref="C69">SUM((MMULT(ISNUMBER(SEARCH(TRANSPOSE(category!$A$2:$A$11), A69))*1, ROW(category!$A$2:$A$11)^0)&gt;0)*1)</f>
        <v>0</v>
      </c>
      <c r="D69" s="4" cm="1">
        <f t="array" ref="D69">SUM((MMULT(ISNUMBER(SEARCH(TRANSPOSE(category!$B$2:$B$25), A69))*1, ROW(category!$B$2:$B$25)^0)&gt;0)*1)</f>
        <v>1</v>
      </c>
      <c r="E69" s="4" cm="1">
        <f t="array" ref="E69">SUM((MMULT(ISNUMBER(SEARCH(TRANSPOSE(category!$C$2:$C$4), A69))*1, ROW(category!$C$2:$C$4)^0)&gt;0)*1)</f>
        <v>0</v>
      </c>
      <c r="F69" s="4" cm="1">
        <f t="array" ref="F69">SUM((MMULT(ISNUMBER(SEARCH(TRANSPOSE(category!$D$2:$D$10), A69))*1, ROW(category!$D$2:$D$10)^0)&gt;0)*1)</f>
        <v>1</v>
      </c>
      <c r="G69" s="4" cm="1">
        <f t="array" ref="G69">SUM((MMULT(ISNUMBER(SEARCH(TRANSPOSE(category!$E$2:$E$8), A69))*1, ROW(category!$E$2:$E$8)^0)&gt;0)*1)</f>
        <v>0</v>
      </c>
      <c r="H69" s="4" cm="1">
        <f t="array" ref="H69">SUM((MMULT(ISNUMBER(SEARCH(TRANSPOSE(category!$F$2:$F$9), A69))*1, ROW(category!$F$2:$F$9)^0)&gt;0)*1)</f>
        <v>0</v>
      </c>
    </row>
    <row r="70" spans="1:8" x14ac:dyDescent="0.45">
      <c r="A70" t="s">
        <v>158</v>
      </c>
      <c r="B70" s="6">
        <f t="shared" si="1"/>
        <v>41</v>
      </c>
      <c r="C70" s="4" cm="1">
        <f t="array" ref="C70">SUM((MMULT(ISNUMBER(SEARCH(TRANSPOSE(category!$A$2:$A$11), A70))*1, ROW(category!$A$2:$A$11)^0)&gt;0)*1)</f>
        <v>1</v>
      </c>
      <c r="D70" s="4" cm="1">
        <f t="array" ref="D70">SUM((MMULT(ISNUMBER(SEARCH(TRANSPOSE(category!$B$2:$B$25), A70))*1, ROW(category!$B$2:$B$25)^0)&gt;0)*1)</f>
        <v>0</v>
      </c>
      <c r="E70" s="4" cm="1">
        <f t="array" ref="E70">SUM((MMULT(ISNUMBER(SEARCH(TRANSPOSE(category!$C$2:$C$4), A70))*1, ROW(category!$C$2:$C$4)^0)&gt;0)*1)</f>
        <v>0</v>
      </c>
      <c r="F70" s="4" cm="1">
        <f t="array" ref="F70">SUM((MMULT(ISNUMBER(SEARCH(TRANSPOSE(category!$D$2:$D$10), A70))*1, ROW(category!$D$2:$D$10)^0)&gt;0)*1)</f>
        <v>0</v>
      </c>
      <c r="G70" s="4" cm="1">
        <f t="array" ref="G70">SUM((MMULT(ISNUMBER(SEARCH(TRANSPOSE(category!$E$2:$E$8), A70))*1, ROW(category!$E$2:$E$8)^0)&gt;0)*1)</f>
        <v>1</v>
      </c>
      <c r="H70" s="4" cm="1">
        <f t="array" ref="H70">SUM((MMULT(ISNUMBER(SEARCH(TRANSPOSE(category!$F$2:$F$9), A70))*1, ROW(category!$F$2:$F$9)^0)&gt;0)*1)</f>
        <v>0</v>
      </c>
    </row>
    <row r="71" spans="1:8" x14ac:dyDescent="0.45">
      <c r="A71" t="s">
        <v>160</v>
      </c>
      <c r="B71" s="6">
        <f t="shared" si="1"/>
        <v>21</v>
      </c>
      <c r="C71" s="4" cm="1">
        <f t="array" ref="C71">SUM((MMULT(ISNUMBER(SEARCH(TRANSPOSE(category!$A$2:$A$11), A71))*1, ROW(category!$A$2:$A$11)^0)&gt;0)*1)</f>
        <v>0</v>
      </c>
      <c r="D71" s="4" cm="1">
        <f t="array" ref="D71">SUM((MMULT(ISNUMBER(SEARCH(TRANSPOSE(category!$B$2:$B$25), A71))*1, ROW(category!$B$2:$B$25)^0)&gt;0)*1)</f>
        <v>1</v>
      </c>
      <c r="E71" s="4" cm="1">
        <f t="array" ref="E71">SUM((MMULT(ISNUMBER(SEARCH(TRANSPOSE(category!$C$2:$C$4), A71))*1, ROW(category!$C$2:$C$4)^0)&gt;0)*1)</f>
        <v>0</v>
      </c>
      <c r="F71" s="4" cm="1">
        <f t="array" ref="F71">SUM((MMULT(ISNUMBER(SEARCH(TRANSPOSE(category!$D$2:$D$10), A71))*1, ROW(category!$D$2:$D$10)^0)&gt;0)*1)</f>
        <v>1</v>
      </c>
      <c r="G71" s="4" cm="1">
        <f t="array" ref="G71">SUM((MMULT(ISNUMBER(SEARCH(TRANSPOSE(category!$E$2:$E$8), A71))*1, ROW(category!$E$2:$E$8)^0)&gt;0)*1)</f>
        <v>0</v>
      </c>
      <c r="H71" s="4" cm="1">
        <f t="array" ref="H71">SUM((MMULT(ISNUMBER(SEARCH(TRANSPOSE(category!$F$2:$F$9), A71))*1, ROW(category!$F$2:$F$9)^0)&gt;0)*1)</f>
        <v>0</v>
      </c>
    </row>
    <row r="72" spans="1:8" x14ac:dyDescent="0.45">
      <c r="A72" t="s">
        <v>162</v>
      </c>
      <c r="B72" s="6">
        <f t="shared" si="1"/>
        <v>16</v>
      </c>
      <c r="C72" s="4" cm="1">
        <f t="array" ref="C72">SUM((MMULT(ISNUMBER(SEARCH(TRANSPOSE(category!$A$2:$A$11), A72))*1, ROW(category!$A$2:$A$11)^0)&gt;0)*1)</f>
        <v>1</v>
      </c>
      <c r="D72" s="4" cm="1">
        <f t="array" ref="D72">SUM((MMULT(ISNUMBER(SEARCH(TRANSPOSE(category!$B$2:$B$25), A72))*1, ROW(category!$B$2:$B$25)^0)&gt;0)*1)</f>
        <v>1</v>
      </c>
      <c r="E72" s="4" cm="1">
        <f t="array" ref="E72">SUM((MMULT(ISNUMBER(SEARCH(TRANSPOSE(category!$C$2:$C$4), A72))*1, ROW(category!$C$2:$C$4)^0)&gt;0)*1)</f>
        <v>0</v>
      </c>
      <c r="F72" s="4" cm="1">
        <f t="array" ref="F72">SUM((MMULT(ISNUMBER(SEARCH(TRANSPOSE(category!$D$2:$D$10), A72))*1, ROW(category!$D$2:$D$10)^0)&gt;0)*1)</f>
        <v>0</v>
      </c>
      <c r="G72" s="4" cm="1">
        <f t="array" ref="G72">SUM((MMULT(ISNUMBER(SEARCH(TRANSPOSE(category!$E$2:$E$8), A72))*1, ROW(category!$E$2:$E$8)^0)&gt;0)*1)</f>
        <v>0</v>
      </c>
      <c r="H72" s="4" cm="1">
        <f t="array" ref="H72">SUM((MMULT(ISNUMBER(SEARCH(TRANSPOSE(category!$F$2:$F$9), A72))*1, ROW(category!$F$2:$F$9)^0)&gt;0)*1)</f>
        <v>0</v>
      </c>
    </row>
    <row r="73" spans="1:8" x14ac:dyDescent="0.45">
      <c r="A73" t="s">
        <v>164</v>
      </c>
      <c r="B73" s="6">
        <f t="shared" si="1"/>
        <v>23</v>
      </c>
      <c r="C73" s="4" cm="1">
        <f t="array" ref="C73">SUM((MMULT(ISNUMBER(SEARCH(TRANSPOSE(category!$A$2:$A$11), A73))*1, ROW(category!$A$2:$A$11)^0)&gt;0)*1)</f>
        <v>0</v>
      </c>
      <c r="D73" s="4" cm="1">
        <f t="array" ref="D73">SUM((MMULT(ISNUMBER(SEARCH(TRANSPOSE(category!$B$2:$B$25), A73))*1, ROW(category!$B$2:$B$25)^0)&gt;0)*1)</f>
        <v>1</v>
      </c>
      <c r="E73" s="4" cm="1">
        <f t="array" ref="E73">SUM((MMULT(ISNUMBER(SEARCH(TRANSPOSE(category!$C$2:$C$4), A73))*1, ROW(category!$C$2:$C$4)^0)&gt;0)*1)</f>
        <v>0</v>
      </c>
      <c r="F73" s="4" cm="1">
        <f t="array" ref="F73">SUM((MMULT(ISNUMBER(SEARCH(TRANSPOSE(category!$D$2:$D$10), A73))*1, ROW(category!$D$2:$D$10)^0)&gt;0)*1)</f>
        <v>1</v>
      </c>
      <c r="G73" s="4" cm="1">
        <f t="array" ref="G73">SUM((MMULT(ISNUMBER(SEARCH(TRANSPOSE(category!$E$2:$E$8), A73))*1, ROW(category!$E$2:$E$8)^0)&gt;0)*1)</f>
        <v>0</v>
      </c>
      <c r="H73" s="4" cm="1">
        <f t="array" ref="H73">SUM((MMULT(ISNUMBER(SEARCH(TRANSPOSE(category!$F$2:$F$9), A73))*1, ROW(category!$F$2:$F$9)^0)&gt;0)*1)</f>
        <v>0</v>
      </c>
    </row>
    <row r="74" spans="1:8" x14ac:dyDescent="0.45">
      <c r="A74" t="s">
        <v>166</v>
      </c>
      <c r="B74" s="6">
        <f t="shared" si="1"/>
        <v>13</v>
      </c>
      <c r="C74" s="4" cm="1">
        <f t="array" ref="C74">SUM((MMULT(ISNUMBER(SEARCH(TRANSPOSE(category!$A$2:$A$11), A74))*1, ROW(category!$A$2:$A$11)^0)&gt;0)*1)</f>
        <v>0</v>
      </c>
      <c r="D74" s="4" cm="1">
        <f t="array" ref="D74">SUM((MMULT(ISNUMBER(SEARCH(TRANSPOSE(category!$B$2:$B$25), A74))*1, ROW(category!$B$2:$B$25)^0)&gt;0)*1)</f>
        <v>1</v>
      </c>
      <c r="E74" s="4" cm="1">
        <f t="array" ref="E74">SUM((MMULT(ISNUMBER(SEARCH(TRANSPOSE(category!$C$2:$C$4), A74))*1, ROW(category!$C$2:$C$4)^0)&gt;0)*1)</f>
        <v>0</v>
      </c>
      <c r="F74" s="4" cm="1">
        <f t="array" ref="F74">SUM((MMULT(ISNUMBER(SEARCH(TRANSPOSE(category!$D$2:$D$10), A74))*1, ROW(category!$D$2:$D$10)^0)&gt;0)*1)</f>
        <v>0</v>
      </c>
      <c r="G74" s="4" cm="1">
        <f t="array" ref="G74">SUM((MMULT(ISNUMBER(SEARCH(TRANSPOSE(category!$E$2:$E$8), A74))*1, ROW(category!$E$2:$E$8)^0)&gt;0)*1)</f>
        <v>0</v>
      </c>
      <c r="H74" s="4" cm="1">
        <f t="array" ref="H74">SUM((MMULT(ISNUMBER(SEARCH(TRANSPOSE(category!$F$2:$F$9), A74))*1, ROW(category!$F$2:$F$9)^0)&gt;0)*1)</f>
        <v>0</v>
      </c>
    </row>
    <row r="75" spans="1:8" x14ac:dyDescent="0.45">
      <c r="A75" t="s">
        <v>168</v>
      </c>
      <c r="B75" s="6">
        <f t="shared" si="1"/>
        <v>4</v>
      </c>
      <c r="C75" s="4" cm="1">
        <f t="array" ref="C75">SUM((MMULT(ISNUMBER(SEARCH(TRANSPOSE(category!$A$2:$A$11), A75))*1, ROW(category!$A$2:$A$11)^0)&gt;0)*1)</f>
        <v>0</v>
      </c>
      <c r="D75" s="4" cm="1">
        <f t="array" ref="D75">SUM((MMULT(ISNUMBER(SEARCH(TRANSPOSE(category!$B$2:$B$25), A75))*1, ROW(category!$B$2:$B$25)^0)&gt;0)*1)</f>
        <v>1</v>
      </c>
      <c r="E75" s="4" cm="1">
        <f t="array" ref="E75">SUM((MMULT(ISNUMBER(SEARCH(TRANSPOSE(category!$C$2:$C$4), A75))*1, ROW(category!$C$2:$C$4)^0)&gt;0)*1)</f>
        <v>0</v>
      </c>
      <c r="F75" s="4" cm="1">
        <f t="array" ref="F75">SUM((MMULT(ISNUMBER(SEARCH(TRANSPOSE(category!$D$2:$D$10), A75))*1, ROW(category!$D$2:$D$10)^0)&gt;0)*1)</f>
        <v>0</v>
      </c>
      <c r="G75" s="4" cm="1">
        <f t="array" ref="G75">SUM((MMULT(ISNUMBER(SEARCH(TRANSPOSE(category!$E$2:$E$8), A75))*1, ROW(category!$E$2:$E$8)^0)&gt;0)*1)</f>
        <v>0</v>
      </c>
      <c r="H75" s="4" cm="1">
        <f t="array" ref="H75">SUM((MMULT(ISNUMBER(SEARCH(TRANSPOSE(category!$F$2:$F$9), A75))*1, ROW(category!$F$2:$F$9)^0)&gt;0)*1)</f>
        <v>0</v>
      </c>
    </row>
    <row r="76" spans="1:8" x14ac:dyDescent="0.45">
      <c r="A76" t="s">
        <v>170</v>
      </c>
      <c r="B76" s="6">
        <f t="shared" si="1"/>
        <v>13</v>
      </c>
      <c r="C76" s="4" cm="1">
        <f t="array" ref="C76">SUM((MMULT(ISNUMBER(SEARCH(TRANSPOSE(category!$A$2:$A$11), A76))*1, ROW(category!$A$2:$A$11)^0)&gt;0)*1)</f>
        <v>0</v>
      </c>
      <c r="D76" s="4" cm="1">
        <f t="array" ref="D76">SUM((MMULT(ISNUMBER(SEARCH(TRANSPOSE(category!$B$2:$B$25), A76))*1, ROW(category!$B$2:$B$25)^0)&gt;0)*1)</f>
        <v>1</v>
      </c>
      <c r="E76" s="4" cm="1">
        <f t="array" ref="E76">SUM((MMULT(ISNUMBER(SEARCH(TRANSPOSE(category!$C$2:$C$4), A76))*1, ROW(category!$C$2:$C$4)^0)&gt;0)*1)</f>
        <v>0</v>
      </c>
      <c r="F76" s="4" cm="1">
        <f t="array" ref="F76">SUM((MMULT(ISNUMBER(SEARCH(TRANSPOSE(category!$D$2:$D$10), A76))*1, ROW(category!$D$2:$D$10)^0)&gt;0)*1)</f>
        <v>0</v>
      </c>
      <c r="G76" s="4" cm="1">
        <f t="array" ref="G76">SUM((MMULT(ISNUMBER(SEARCH(TRANSPOSE(category!$E$2:$E$8), A76))*1, ROW(category!$E$2:$E$8)^0)&gt;0)*1)</f>
        <v>0</v>
      </c>
      <c r="H76" s="4" cm="1">
        <f t="array" ref="H76">SUM((MMULT(ISNUMBER(SEARCH(TRANSPOSE(category!$F$2:$F$9), A76))*1, ROW(category!$F$2:$F$9)^0)&gt;0)*1)</f>
        <v>0</v>
      </c>
    </row>
    <row r="77" spans="1:8" x14ac:dyDescent="0.45">
      <c r="A77" t="s">
        <v>172</v>
      </c>
      <c r="B77" s="6">
        <f t="shared" si="1"/>
        <v>3</v>
      </c>
      <c r="C77" s="4" cm="1">
        <f t="array" ref="C77">SUM((MMULT(ISNUMBER(SEARCH(TRANSPOSE(category!$A$2:$A$11), A77))*1, ROW(category!$A$2:$A$11)^0)&gt;0)*1)</f>
        <v>0</v>
      </c>
      <c r="D77" s="4" cm="1">
        <f t="array" ref="D77">SUM((MMULT(ISNUMBER(SEARCH(TRANSPOSE(category!$B$2:$B$25), A77))*1, ROW(category!$B$2:$B$25)^0)&gt;0)*1)</f>
        <v>1</v>
      </c>
      <c r="E77" s="4" cm="1">
        <f t="array" ref="E77">SUM((MMULT(ISNUMBER(SEARCH(TRANSPOSE(category!$C$2:$C$4), A77))*1, ROW(category!$C$2:$C$4)^0)&gt;0)*1)</f>
        <v>0</v>
      </c>
      <c r="F77" s="4" cm="1">
        <f t="array" ref="F77">SUM((MMULT(ISNUMBER(SEARCH(TRANSPOSE(category!$D$2:$D$10), A77))*1, ROW(category!$D$2:$D$10)^0)&gt;0)*1)</f>
        <v>1</v>
      </c>
      <c r="G77" s="4" cm="1">
        <f t="array" ref="G77">SUM((MMULT(ISNUMBER(SEARCH(TRANSPOSE(category!$E$2:$E$8), A77))*1, ROW(category!$E$2:$E$8)^0)&gt;0)*1)</f>
        <v>0</v>
      </c>
      <c r="H77" s="4" cm="1">
        <f t="array" ref="H77">SUM((MMULT(ISNUMBER(SEARCH(TRANSPOSE(category!$F$2:$F$9), A77))*1, ROW(category!$F$2:$F$9)^0)&gt;0)*1)</f>
        <v>0</v>
      </c>
    </row>
    <row r="78" spans="1:8" x14ac:dyDescent="0.45">
      <c r="A78" t="s">
        <v>174</v>
      </c>
      <c r="B78" s="6">
        <f t="shared" si="1"/>
        <v>29</v>
      </c>
      <c r="C78" s="4" cm="1">
        <f t="array" ref="C78">SUM((MMULT(ISNUMBER(SEARCH(TRANSPOSE(category!$A$2:$A$11), A78))*1, ROW(category!$A$2:$A$11)^0)&gt;0)*1)</f>
        <v>1</v>
      </c>
      <c r="D78" s="4" cm="1">
        <f t="array" ref="D78">SUM((MMULT(ISNUMBER(SEARCH(TRANSPOSE(category!$B$2:$B$25), A78))*1, ROW(category!$B$2:$B$25)^0)&gt;0)*1)</f>
        <v>1</v>
      </c>
      <c r="E78" s="4" cm="1">
        <f t="array" ref="E78">SUM((MMULT(ISNUMBER(SEARCH(TRANSPOSE(category!$C$2:$C$4), A78))*1, ROW(category!$C$2:$C$4)^0)&gt;0)*1)</f>
        <v>0</v>
      </c>
      <c r="F78" s="4" cm="1">
        <f t="array" ref="F78">SUM((MMULT(ISNUMBER(SEARCH(TRANSPOSE(category!$D$2:$D$10), A78))*1, ROW(category!$D$2:$D$10)^0)&gt;0)*1)</f>
        <v>0</v>
      </c>
      <c r="G78" s="4" cm="1">
        <f t="array" ref="G78">SUM((MMULT(ISNUMBER(SEARCH(TRANSPOSE(category!$E$2:$E$8), A78))*1, ROW(category!$E$2:$E$8)^0)&gt;0)*1)</f>
        <v>0</v>
      </c>
      <c r="H78" s="4" cm="1">
        <f t="array" ref="H78">SUM((MMULT(ISNUMBER(SEARCH(TRANSPOSE(category!$F$2:$F$9), A78))*1, ROW(category!$F$2:$F$9)^0)&gt;0)*1)</f>
        <v>0</v>
      </c>
    </row>
    <row r="79" spans="1:8" x14ac:dyDescent="0.45">
      <c r="A79" t="s">
        <v>176</v>
      </c>
      <c r="B79" s="6">
        <f t="shared" si="1"/>
        <v>3</v>
      </c>
      <c r="C79" s="4" cm="1">
        <f t="array" ref="C79">SUM((MMULT(ISNUMBER(SEARCH(TRANSPOSE(category!$A$2:$A$11), A79))*1, ROW(category!$A$2:$A$11)^0)&gt;0)*1)</f>
        <v>0</v>
      </c>
      <c r="D79" s="4" cm="1">
        <f t="array" ref="D79">SUM((MMULT(ISNUMBER(SEARCH(TRANSPOSE(category!$B$2:$B$25), A79))*1, ROW(category!$B$2:$B$25)^0)&gt;0)*1)</f>
        <v>1</v>
      </c>
      <c r="E79" s="4" cm="1">
        <f t="array" ref="E79">SUM((MMULT(ISNUMBER(SEARCH(TRANSPOSE(category!$C$2:$C$4), A79))*1, ROW(category!$C$2:$C$4)^0)&gt;0)*1)</f>
        <v>0</v>
      </c>
      <c r="F79" s="4" cm="1">
        <f t="array" ref="F79">SUM((MMULT(ISNUMBER(SEARCH(TRANSPOSE(category!$D$2:$D$10), A79))*1, ROW(category!$D$2:$D$10)^0)&gt;0)*1)</f>
        <v>1</v>
      </c>
      <c r="G79" s="4" cm="1">
        <f t="array" ref="G79">SUM((MMULT(ISNUMBER(SEARCH(TRANSPOSE(category!$E$2:$E$8), A79))*1, ROW(category!$E$2:$E$8)^0)&gt;0)*1)</f>
        <v>0</v>
      </c>
      <c r="H79" s="4" cm="1">
        <f t="array" ref="H79">SUM((MMULT(ISNUMBER(SEARCH(TRANSPOSE(category!$F$2:$F$9), A79))*1, ROW(category!$F$2:$F$9)^0)&gt;0)*1)</f>
        <v>0</v>
      </c>
    </row>
    <row r="80" spans="1:8" x14ac:dyDescent="0.45">
      <c r="A80" t="s">
        <v>178</v>
      </c>
      <c r="B80" s="6">
        <f t="shared" si="1"/>
        <v>14</v>
      </c>
      <c r="C80" s="4" cm="1">
        <f t="array" ref="C80">SUM((MMULT(ISNUMBER(SEARCH(TRANSPOSE(category!$A$2:$A$11), A80))*1, ROW(category!$A$2:$A$11)^0)&gt;0)*1)</f>
        <v>0</v>
      </c>
      <c r="D80" s="4" cm="1">
        <f t="array" ref="D80">SUM((MMULT(ISNUMBER(SEARCH(TRANSPOSE(category!$B$2:$B$25), A80))*1, ROW(category!$B$2:$B$25)^0)&gt;0)*1)</f>
        <v>1</v>
      </c>
      <c r="E80" s="4" cm="1">
        <f t="array" ref="E80">SUM((MMULT(ISNUMBER(SEARCH(TRANSPOSE(category!$C$2:$C$4), A80))*1, ROW(category!$C$2:$C$4)^0)&gt;0)*1)</f>
        <v>0</v>
      </c>
      <c r="F80" s="4" cm="1">
        <f t="array" ref="F80">SUM((MMULT(ISNUMBER(SEARCH(TRANSPOSE(category!$D$2:$D$10), A80))*1, ROW(category!$D$2:$D$10)^0)&gt;0)*1)</f>
        <v>1</v>
      </c>
      <c r="G80" s="4" cm="1">
        <f t="array" ref="G80">SUM((MMULT(ISNUMBER(SEARCH(TRANSPOSE(category!$E$2:$E$8), A80))*1, ROW(category!$E$2:$E$8)^0)&gt;0)*1)</f>
        <v>0</v>
      </c>
      <c r="H80" s="4" cm="1">
        <f t="array" ref="H80">SUM((MMULT(ISNUMBER(SEARCH(TRANSPOSE(category!$F$2:$F$9), A80))*1, ROW(category!$F$2:$F$9)^0)&gt;0)*1)</f>
        <v>0</v>
      </c>
    </row>
    <row r="81" spans="1:8" x14ac:dyDescent="0.45">
      <c r="A81" t="s">
        <v>180</v>
      </c>
      <c r="B81" s="6">
        <f t="shared" si="1"/>
        <v>3</v>
      </c>
      <c r="C81" s="4" cm="1">
        <f t="array" ref="C81">SUM((MMULT(ISNUMBER(SEARCH(TRANSPOSE(category!$A$2:$A$11), A81))*1, ROW(category!$A$2:$A$11)^0)&gt;0)*1)</f>
        <v>0</v>
      </c>
      <c r="D81" s="4" cm="1">
        <f t="array" ref="D81">SUM((MMULT(ISNUMBER(SEARCH(TRANSPOSE(category!$B$2:$B$25), A81))*1, ROW(category!$B$2:$B$25)^0)&gt;0)*1)</f>
        <v>1</v>
      </c>
      <c r="E81" s="4" cm="1">
        <f t="array" ref="E81">SUM((MMULT(ISNUMBER(SEARCH(TRANSPOSE(category!$C$2:$C$4), A81))*1, ROW(category!$C$2:$C$4)^0)&gt;0)*1)</f>
        <v>0</v>
      </c>
      <c r="F81" s="4" cm="1">
        <f t="array" ref="F81">SUM((MMULT(ISNUMBER(SEARCH(TRANSPOSE(category!$D$2:$D$10), A81))*1, ROW(category!$D$2:$D$10)^0)&gt;0)*1)</f>
        <v>0</v>
      </c>
      <c r="G81" s="4" cm="1">
        <f t="array" ref="G81">SUM((MMULT(ISNUMBER(SEARCH(TRANSPOSE(category!$E$2:$E$8), A81))*1, ROW(category!$E$2:$E$8)^0)&gt;0)*1)</f>
        <v>0</v>
      </c>
      <c r="H81" s="4" cm="1">
        <f t="array" ref="H81">SUM((MMULT(ISNUMBER(SEARCH(TRANSPOSE(category!$F$2:$F$9), A81))*1, ROW(category!$F$2:$F$9)^0)&gt;0)*1)</f>
        <v>0</v>
      </c>
    </row>
    <row r="82" spans="1:8" x14ac:dyDescent="0.45">
      <c r="A82" t="s">
        <v>182</v>
      </c>
      <c r="B82" s="6">
        <f t="shared" si="1"/>
        <v>5</v>
      </c>
      <c r="C82" s="4" cm="1">
        <f t="array" ref="C82">SUM((MMULT(ISNUMBER(SEARCH(TRANSPOSE(category!$A$2:$A$11), A82))*1, ROW(category!$A$2:$A$11)^0)&gt;0)*1)</f>
        <v>0</v>
      </c>
      <c r="D82" s="4" cm="1">
        <f t="array" ref="D82">SUM((MMULT(ISNUMBER(SEARCH(TRANSPOSE(category!$B$2:$B$25), A82))*1, ROW(category!$B$2:$B$25)^0)&gt;0)*1)</f>
        <v>1</v>
      </c>
      <c r="E82" s="4" cm="1">
        <f t="array" ref="E82">SUM((MMULT(ISNUMBER(SEARCH(TRANSPOSE(category!$C$2:$C$4), A82))*1, ROW(category!$C$2:$C$4)^0)&gt;0)*1)</f>
        <v>0</v>
      </c>
      <c r="F82" s="4" cm="1">
        <f t="array" ref="F82">SUM((MMULT(ISNUMBER(SEARCH(TRANSPOSE(category!$D$2:$D$10), A82))*1, ROW(category!$D$2:$D$10)^0)&gt;0)*1)</f>
        <v>0</v>
      </c>
      <c r="G82" s="4" cm="1">
        <f t="array" ref="G82">SUM((MMULT(ISNUMBER(SEARCH(TRANSPOSE(category!$E$2:$E$8), A82))*1, ROW(category!$E$2:$E$8)^0)&gt;0)*1)</f>
        <v>0</v>
      </c>
      <c r="H82" s="4" cm="1">
        <f t="array" ref="H82">SUM((MMULT(ISNUMBER(SEARCH(TRANSPOSE(category!$F$2:$F$9), A82))*1, ROW(category!$F$2:$F$9)^0)&gt;0)*1)</f>
        <v>0</v>
      </c>
    </row>
    <row r="83" spans="1:8" x14ac:dyDescent="0.45">
      <c r="A83" t="s">
        <v>184</v>
      </c>
      <c r="B83" s="6">
        <f t="shared" si="1"/>
        <v>4</v>
      </c>
      <c r="C83" s="4" cm="1">
        <f t="array" ref="C83">SUM((MMULT(ISNUMBER(SEARCH(TRANSPOSE(category!$A$2:$A$11), A83))*1, ROW(category!$A$2:$A$11)^0)&gt;0)*1)</f>
        <v>0</v>
      </c>
      <c r="D83" s="4" cm="1">
        <f t="array" ref="D83">SUM((MMULT(ISNUMBER(SEARCH(TRANSPOSE(category!$B$2:$B$25), A83))*1, ROW(category!$B$2:$B$25)^0)&gt;0)*1)</f>
        <v>1</v>
      </c>
      <c r="E83" s="4" cm="1">
        <f t="array" ref="E83">SUM((MMULT(ISNUMBER(SEARCH(TRANSPOSE(category!$C$2:$C$4), A83))*1, ROW(category!$C$2:$C$4)^0)&gt;0)*1)</f>
        <v>0</v>
      </c>
      <c r="F83" s="4" cm="1">
        <f t="array" ref="F83">SUM((MMULT(ISNUMBER(SEARCH(TRANSPOSE(category!$D$2:$D$10), A83))*1, ROW(category!$D$2:$D$10)^0)&gt;0)*1)</f>
        <v>0</v>
      </c>
      <c r="G83" s="4" cm="1">
        <f t="array" ref="G83">SUM((MMULT(ISNUMBER(SEARCH(TRANSPOSE(category!$E$2:$E$8), A83))*1, ROW(category!$E$2:$E$8)^0)&gt;0)*1)</f>
        <v>0</v>
      </c>
      <c r="H83" s="4" cm="1">
        <f t="array" ref="H83">SUM((MMULT(ISNUMBER(SEARCH(TRANSPOSE(category!$F$2:$F$9), A83))*1, ROW(category!$F$2:$F$9)^0)&gt;0)*1)</f>
        <v>0</v>
      </c>
    </row>
    <row r="84" spans="1:8" x14ac:dyDescent="0.45">
      <c r="A84" t="s">
        <v>186</v>
      </c>
      <c r="B84" s="6">
        <f t="shared" si="1"/>
        <v>4</v>
      </c>
      <c r="C84" s="4" cm="1">
        <f t="array" ref="C84">SUM((MMULT(ISNUMBER(SEARCH(TRANSPOSE(category!$A$2:$A$11), A84))*1, ROW(category!$A$2:$A$11)^0)&gt;0)*1)</f>
        <v>0</v>
      </c>
      <c r="D84" s="4" cm="1">
        <f t="array" ref="D84">SUM((MMULT(ISNUMBER(SEARCH(TRANSPOSE(category!$B$2:$B$25), A84))*1, ROW(category!$B$2:$B$25)^0)&gt;0)*1)</f>
        <v>0</v>
      </c>
      <c r="E84" s="4" cm="1">
        <f t="array" ref="E84">SUM((MMULT(ISNUMBER(SEARCH(TRANSPOSE(category!$C$2:$C$4), A84))*1, ROW(category!$C$2:$C$4)^0)&gt;0)*1)</f>
        <v>0</v>
      </c>
      <c r="F84" s="4" cm="1">
        <f t="array" ref="F84">SUM((MMULT(ISNUMBER(SEARCH(TRANSPOSE(category!$D$2:$D$10), A84))*1, ROW(category!$D$2:$D$10)^0)&gt;0)*1)</f>
        <v>1</v>
      </c>
      <c r="G84" s="4" cm="1">
        <f t="array" ref="G84">SUM((MMULT(ISNUMBER(SEARCH(TRANSPOSE(category!$E$2:$E$8), A84))*1, ROW(category!$E$2:$E$8)^0)&gt;0)*1)</f>
        <v>0</v>
      </c>
      <c r="H84" s="4" cm="1">
        <f t="array" ref="H84">SUM((MMULT(ISNUMBER(SEARCH(TRANSPOSE(category!$F$2:$F$9), A84))*1, ROW(category!$F$2:$F$9)^0)&gt;0)*1)</f>
        <v>1</v>
      </c>
    </row>
    <row r="85" spans="1:8" x14ac:dyDescent="0.45">
      <c r="A85" t="s">
        <v>188</v>
      </c>
      <c r="B85" s="6">
        <f t="shared" si="1"/>
        <v>10</v>
      </c>
      <c r="C85" s="4" cm="1">
        <f t="array" ref="C85">SUM((MMULT(ISNUMBER(SEARCH(TRANSPOSE(category!$A$2:$A$11), A85))*1, ROW(category!$A$2:$A$11)^0)&gt;0)*1)</f>
        <v>0</v>
      </c>
      <c r="D85" s="4" cm="1">
        <f t="array" ref="D85">SUM((MMULT(ISNUMBER(SEARCH(TRANSPOSE(category!$B$2:$B$25), A85))*1, ROW(category!$B$2:$B$25)^0)&gt;0)*1)</f>
        <v>1</v>
      </c>
      <c r="E85" s="4" cm="1">
        <f t="array" ref="E85">SUM((MMULT(ISNUMBER(SEARCH(TRANSPOSE(category!$C$2:$C$4), A85))*1, ROW(category!$C$2:$C$4)^0)&gt;0)*1)</f>
        <v>0</v>
      </c>
      <c r="F85" s="4" cm="1">
        <f t="array" ref="F85">SUM((MMULT(ISNUMBER(SEARCH(TRANSPOSE(category!$D$2:$D$10), A85))*1, ROW(category!$D$2:$D$10)^0)&gt;0)*1)</f>
        <v>0</v>
      </c>
      <c r="G85" s="4" cm="1">
        <f t="array" ref="G85">SUM((MMULT(ISNUMBER(SEARCH(TRANSPOSE(category!$E$2:$E$8), A85))*1, ROW(category!$E$2:$E$8)^0)&gt;0)*1)</f>
        <v>0</v>
      </c>
      <c r="H85" s="4" cm="1">
        <f t="array" ref="H85">SUM((MMULT(ISNUMBER(SEARCH(TRANSPOSE(category!$F$2:$F$9), A85))*1, ROW(category!$F$2:$F$9)^0)&gt;0)*1)</f>
        <v>0</v>
      </c>
    </row>
    <row r="86" spans="1:8" x14ac:dyDescent="0.45">
      <c r="A86" t="s">
        <v>190</v>
      </c>
      <c r="B86" s="6">
        <f t="shared" si="1"/>
        <v>5</v>
      </c>
      <c r="C86" s="4" cm="1">
        <f t="array" ref="C86">SUM((MMULT(ISNUMBER(SEARCH(TRANSPOSE(category!$A$2:$A$11), A86))*1, ROW(category!$A$2:$A$11)^0)&gt;0)*1)</f>
        <v>0</v>
      </c>
      <c r="D86" s="4" cm="1">
        <f t="array" ref="D86">SUM((MMULT(ISNUMBER(SEARCH(TRANSPOSE(category!$B$2:$B$25), A86))*1, ROW(category!$B$2:$B$25)^0)&gt;0)*1)</f>
        <v>1</v>
      </c>
      <c r="E86" s="4" cm="1">
        <f t="array" ref="E86">SUM((MMULT(ISNUMBER(SEARCH(TRANSPOSE(category!$C$2:$C$4), A86))*1, ROW(category!$C$2:$C$4)^0)&gt;0)*1)</f>
        <v>0</v>
      </c>
      <c r="F86" s="4" cm="1">
        <f t="array" ref="F86">SUM((MMULT(ISNUMBER(SEARCH(TRANSPOSE(category!$D$2:$D$10), A86))*1, ROW(category!$D$2:$D$10)^0)&gt;0)*1)</f>
        <v>0</v>
      </c>
      <c r="G86" s="4" cm="1">
        <f t="array" ref="G86">SUM((MMULT(ISNUMBER(SEARCH(TRANSPOSE(category!$E$2:$E$8), A86))*1, ROW(category!$E$2:$E$8)^0)&gt;0)*1)</f>
        <v>0</v>
      </c>
      <c r="H86" s="4" cm="1">
        <f t="array" ref="H86">SUM((MMULT(ISNUMBER(SEARCH(TRANSPOSE(category!$F$2:$F$9), A86))*1, ROW(category!$F$2:$F$9)^0)&gt;0)*1)</f>
        <v>0</v>
      </c>
    </row>
    <row r="87" spans="1:8" x14ac:dyDescent="0.45">
      <c r="A87" t="s">
        <v>192</v>
      </c>
      <c r="B87" s="6">
        <f t="shared" si="1"/>
        <v>16</v>
      </c>
      <c r="C87" s="4" cm="1">
        <f t="array" ref="C87">SUM((MMULT(ISNUMBER(SEARCH(TRANSPOSE(category!$A$2:$A$11), A87))*1, ROW(category!$A$2:$A$11)^0)&gt;0)*1)</f>
        <v>1</v>
      </c>
      <c r="D87" s="4" cm="1">
        <f t="array" ref="D87">SUM((MMULT(ISNUMBER(SEARCH(TRANSPOSE(category!$B$2:$B$25), A87))*1, ROW(category!$B$2:$B$25)^0)&gt;0)*1)</f>
        <v>0</v>
      </c>
      <c r="E87" s="4" cm="1">
        <f t="array" ref="E87">SUM((MMULT(ISNUMBER(SEARCH(TRANSPOSE(category!$C$2:$C$4), A87))*1, ROW(category!$C$2:$C$4)^0)&gt;0)*1)</f>
        <v>0</v>
      </c>
      <c r="F87" s="4" cm="1">
        <f t="array" ref="F87">SUM((MMULT(ISNUMBER(SEARCH(TRANSPOSE(category!$D$2:$D$10), A87))*1, ROW(category!$D$2:$D$10)^0)&gt;0)*1)</f>
        <v>1</v>
      </c>
      <c r="G87" s="4" cm="1">
        <f t="array" ref="G87">SUM((MMULT(ISNUMBER(SEARCH(TRANSPOSE(category!$E$2:$E$8), A87))*1, ROW(category!$E$2:$E$8)^0)&gt;0)*1)</f>
        <v>0</v>
      </c>
      <c r="H87" s="4" cm="1">
        <f t="array" ref="H87">SUM((MMULT(ISNUMBER(SEARCH(TRANSPOSE(category!$F$2:$F$9), A87))*1, ROW(category!$F$2:$F$9)^0)&gt;0)*1)</f>
        <v>0</v>
      </c>
    </row>
    <row r="88" spans="1:8" x14ac:dyDescent="0.45">
      <c r="A88" t="s">
        <v>194</v>
      </c>
      <c r="B88" s="6">
        <f t="shared" si="1"/>
        <v>11</v>
      </c>
      <c r="C88" s="4" cm="1">
        <f t="array" ref="C88">SUM((MMULT(ISNUMBER(SEARCH(TRANSPOSE(category!$A$2:$A$11), A88))*1, ROW(category!$A$2:$A$11)^0)&gt;0)*1)</f>
        <v>0</v>
      </c>
      <c r="D88" s="4" cm="1">
        <f t="array" ref="D88">SUM((MMULT(ISNUMBER(SEARCH(TRANSPOSE(category!$B$2:$B$25), A88))*1, ROW(category!$B$2:$B$25)^0)&gt;0)*1)</f>
        <v>1</v>
      </c>
      <c r="E88" s="4" cm="1">
        <f t="array" ref="E88">SUM((MMULT(ISNUMBER(SEARCH(TRANSPOSE(category!$C$2:$C$4), A88))*1, ROW(category!$C$2:$C$4)^0)&gt;0)*1)</f>
        <v>0</v>
      </c>
      <c r="F88" s="4" cm="1">
        <f t="array" ref="F88">SUM((MMULT(ISNUMBER(SEARCH(TRANSPOSE(category!$D$2:$D$10), A88))*1, ROW(category!$D$2:$D$10)^0)&gt;0)*1)</f>
        <v>1</v>
      </c>
      <c r="G88" s="4" cm="1">
        <f t="array" ref="G88">SUM((MMULT(ISNUMBER(SEARCH(TRANSPOSE(category!$E$2:$E$8), A88))*1, ROW(category!$E$2:$E$8)^0)&gt;0)*1)</f>
        <v>0</v>
      </c>
      <c r="H88" s="4" cm="1">
        <f t="array" ref="H88">SUM((MMULT(ISNUMBER(SEARCH(TRANSPOSE(category!$F$2:$F$9), A88))*1, ROW(category!$F$2:$F$9)^0)&gt;0)*1)</f>
        <v>0</v>
      </c>
    </row>
    <row r="89" spans="1:8" x14ac:dyDescent="0.45">
      <c r="A89" t="s">
        <v>196</v>
      </c>
      <c r="B89" s="6">
        <f t="shared" si="1"/>
        <v>4</v>
      </c>
      <c r="C89" s="4" cm="1">
        <f t="array" ref="C89">SUM((MMULT(ISNUMBER(SEARCH(TRANSPOSE(category!$A$2:$A$11), A89))*1, ROW(category!$A$2:$A$11)^0)&gt;0)*1)</f>
        <v>0</v>
      </c>
      <c r="D89" s="4" cm="1">
        <f t="array" ref="D89">SUM((MMULT(ISNUMBER(SEARCH(TRANSPOSE(category!$B$2:$B$25), A89))*1, ROW(category!$B$2:$B$25)^0)&gt;0)*1)</f>
        <v>1</v>
      </c>
      <c r="E89" s="4" cm="1">
        <f t="array" ref="E89">SUM((MMULT(ISNUMBER(SEARCH(TRANSPOSE(category!$C$2:$C$4), A89))*1, ROW(category!$C$2:$C$4)^0)&gt;0)*1)</f>
        <v>0</v>
      </c>
      <c r="F89" s="4" cm="1">
        <f t="array" ref="F89">SUM((MMULT(ISNUMBER(SEARCH(TRANSPOSE(category!$D$2:$D$10), A89))*1, ROW(category!$D$2:$D$10)^0)&gt;0)*1)</f>
        <v>0</v>
      </c>
      <c r="G89" s="4" cm="1">
        <f t="array" ref="G89">SUM((MMULT(ISNUMBER(SEARCH(TRANSPOSE(category!$E$2:$E$8), A89))*1, ROW(category!$E$2:$E$8)^0)&gt;0)*1)</f>
        <v>1</v>
      </c>
      <c r="H89" s="4" cm="1">
        <f t="array" ref="H89">SUM((MMULT(ISNUMBER(SEARCH(TRANSPOSE(category!$F$2:$F$9), A89))*1, ROW(category!$F$2:$F$9)^0)&gt;0)*1)</f>
        <v>0</v>
      </c>
    </row>
    <row r="90" spans="1:8" x14ac:dyDescent="0.45">
      <c r="A90" t="s">
        <v>198</v>
      </c>
      <c r="B90" s="6">
        <f t="shared" si="1"/>
        <v>7</v>
      </c>
      <c r="C90" s="4" cm="1">
        <f t="array" ref="C90">SUM((MMULT(ISNUMBER(SEARCH(TRANSPOSE(category!$A$2:$A$11), A90))*1, ROW(category!$A$2:$A$11)^0)&gt;0)*1)</f>
        <v>0</v>
      </c>
      <c r="D90" s="4" cm="1">
        <f t="array" ref="D90">SUM((MMULT(ISNUMBER(SEARCH(TRANSPOSE(category!$B$2:$B$25), A90))*1, ROW(category!$B$2:$B$25)^0)&gt;0)*1)</f>
        <v>1</v>
      </c>
      <c r="E90" s="4" cm="1">
        <f t="array" ref="E90">SUM((MMULT(ISNUMBER(SEARCH(TRANSPOSE(category!$C$2:$C$4), A90))*1, ROW(category!$C$2:$C$4)^0)&gt;0)*1)</f>
        <v>0</v>
      </c>
      <c r="F90" s="4" cm="1">
        <f t="array" ref="F90">SUM((MMULT(ISNUMBER(SEARCH(TRANSPOSE(category!$D$2:$D$10), A90))*1, ROW(category!$D$2:$D$10)^0)&gt;0)*1)</f>
        <v>0</v>
      </c>
      <c r="G90" s="4" cm="1">
        <f t="array" ref="G90">SUM((MMULT(ISNUMBER(SEARCH(TRANSPOSE(category!$E$2:$E$8), A90))*1, ROW(category!$E$2:$E$8)^0)&gt;0)*1)</f>
        <v>0</v>
      </c>
      <c r="H90" s="4" cm="1">
        <f t="array" ref="H90">SUM((MMULT(ISNUMBER(SEARCH(TRANSPOSE(category!$F$2:$F$9), A90))*1, ROW(category!$F$2:$F$9)^0)&gt;0)*1)</f>
        <v>0</v>
      </c>
    </row>
    <row r="91" spans="1:8" x14ac:dyDescent="0.45">
      <c r="A91" t="s">
        <v>201</v>
      </c>
      <c r="B91" s="6">
        <f t="shared" si="1"/>
        <v>1</v>
      </c>
      <c r="C91" s="4" cm="1">
        <f t="array" ref="C91">SUM((MMULT(ISNUMBER(SEARCH(TRANSPOSE(category!$A$2:$A$11), A91))*1, ROW(category!$A$2:$A$11)^0)&gt;0)*1)</f>
        <v>0</v>
      </c>
      <c r="D91" s="4" cm="1">
        <f t="array" ref="D91">SUM((MMULT(ISNUMBER(SEARCH(TRANSPOSE(category!$B$2:$B$25), A91))*1, ROW(category!$B$2:$B$25)^0)&gt;0)*1)</f>
        <v>1</v>
      </c>
      <c r="E91" s="4" cm="1">
        <f t="array" ref="E91">SUM((MMULT(ISNUMBER(SEARCH(TRANSPOSE(category!$C$2:$C$4), A91))*1, ROW(category!$C$2:$C$4)^0)&gt;0)*1)</f>
        <v>0</v>
      </c>
      <c r="F91" s="4" cm="1">
        <f t="array" ref="F91">SUM((MMULT(ISNUMBER(SEARCH(TRANSPOSE(category!$D$2:$D$10), A91))*1, ROW(category!$D$2:$D$10)^0)&gt;0)*1)</f>
        <v>0</v>
      </c>
      <c r="G91" s="4" cm="1">
        <f t="array" ref="G91">SUM((MMULT(ISNUMBER(SEARCH(TRANSPOSE(category!$E$2:$E$8), A91))*1, ROW(category!$E$2:$E$8)^0)&gt;0)*1)</f>
        <v>0</v>
      </c>
      <c r="H91" s="4" cm="1">
        <f t="array" ref="H91">SUM((MMULT(ISNUMBER(SEARCH(TRANSPOSE(category!$F$2:$F$9), A91))*1, ROW(category!$F$2:$F$9)^0)&gt;0)*1)</f>
        <v>0</v>
      </c>
    </row>
    <row r="92" spans="1:8" x14ac:dyDescent="0.45">
      <c r="A92" t="s">
        <v>203</v>
      </c>
      <c r="B92" s="6">
        <f t="shared" si="1"/>
        <v>4</v>
      </c>
      <c r="C92" s="4" cm="1">
        <f t="array" ref="C92">SUM((MMULT(ISNUMBER(SEARCH(TRANSPOSE(category!$A$2:$A$11), A92))*1, ROW(category!$A$2:$A$11)^0)&gt;0)*1)</f>
        <v>0</v>
      </c>
      <c r="D92" s="4" cm="1">
        <f t="array" ref="D92">SUM((MMULT(ISNUMBER(SEARCH(TRANSPOSE(category!$B$2:$B$25), A92))*1, ROW(category!$B$2:$B$25)^0)&gt;0)*1)</f>
        <v>0</v>
      </c>
      <c r="E92" s="4" cm="1">
        <f t="array" ref="E92">SUM((MMULT(ISNUMBER(SEARCH(TRANSPOSE(category!$C$2:$C$4), A92))*1, ROW(category!$C$2:$C$4)^0)&gt;0)*1)</f>
        <v>0</v>
      </c>
      <c r="F92" s="4" cm="1">
        <f t="array" ref="F92">SUM((MMULT(ISNUMBER(SEARCH(TRANSPOSE(category!$D$2:$D$10), A92))*1, ROW(category!$D$2:$D$10)^0)&gt;0)*1)</f>
        <v>0</v>
      </c>
      <c r="G92" s="4" cm="1">
        <f t="array" ref="G92">SUM((MMULT(ISNUMBER(SEARCH(TRANSPOSE(category!$E$2:$E$8), A92))*1, ROW(category!$E$2:$E$8)^0)&gt;0)*1)</f>
        <v>0</v>
      </c>
      <c r="H92" s="4" cm="1">
        <f t="array" ref="H92">SUM((MMULT(ISNUMBER(SEARCH(TRANSPOSE(category!$F$2:$F$9), A92))*1, ROW(category!$F$2:$F$9)^0)&gt;0)*1)</f>
        <v>0</v>
      </c>
    </row>
    <row r="93" spans="1:8" x14ac:dyDescent="0.45">
      <c r="A93" t="s">
        <v>205</v>
      </c>
      <c r="B93" s="6">
        <f t="shared" si="1"/>
        <v>10</v>
      </c>
      <c r="C93" s="4" cm="1">
        <f t="array" ref="C93">SUM((MMULT(ISNUMBER(SEARCH(TRANSPOSE(category!$A$2:$A$11), A93))*1, ROW(category!$A$2:$A$11)^0)&gt;0)*1)</f>
        <v>0</v>
      </c>
      <c r="D93" s="4" cm="1">
        <f t="array" ref="D93">SUM((MMULT(ISNUMBER(SEARCH(TRANSPOSE(category!$B$2:$B$25), A93))*1, ROW(category!$B$2:$B$25)^0)&gt;0)*1)</f>
        <v>1</v>
      </c>
      <c r="E93" s="4" cm="1">
        <f t="array" ref="E93">SUM((MMULT(ISNUMBER(SEARCH(TRANSPOSE(category!$C$2:$C$4), A93))*1, ROW(category!$C$2:$C$4)^0)&gt;0)*1)</f>
        <v>0</v>
      </c>
      <c r="F93" s="4" cm="1">
        <f t="array" ref="F93">SUM((MMULT(ISNUMBER(SEARCH(TRANSPOSE(category!$D$2:$D$10), A93))*1, ROW(category!$D$2:$D$10)^0)&gt;0)*1)</f>
        <v>0</v>
      </c>
      <c r="G93" s="4" cm="1">
        <f t="array" ref="G93">SUM((MMULT(ISNUMBER(SEARCH(TRANSPOSE(category!$E$2:$E$8), A93))*1, ROW(category!$E$2:$E$8)^0)&gt;0)*1)</f>
        <v>0</v>
      </c>
      <c r="H93" s="4" cm="1">
        <f t="array" ref="H93">SUM((MMULT(ISNUMBER(SEARCH(TRANSPOSE(category!$F$2:$F$9), A93))*1, ROW(category!$F$2:$F$9)^0)&gt;0)*1)</f>
        <v>0</v>
      </c>
    </row>
    <row r="94" spans="1:8" x14ac:dyDescent="0.45">
      <c r="A94" t="s">
        <v>207</v>
      </c>
      <c r="B94" s="6">
        <f t="shared" si="1"/>
        <v>12</v>
      </c>
      <c r="C94" s="4" cm="1">
        <f t="array" ref="C94">SUM((MMULT(ISNUMBER(SEARCH(TRANSPOSE(category!$A$2:$A$11), A94))*1, ROW(category!$A$2:$A$11)^0)&gt;0)*1)</f>
        <v>0</v>
      </c>
      <c r="D94" s="4" cm="1">
        <f t="array" ref="D94">SUM((MMULT(ISNUMBER(SEARCH(TRANSPOSE(category!$B$2:$B$25), A94))*1, ROW(category!$B$2:$B$25)^0)&gt;0)*1)</f>
        <v>1</v>
      </c>
      <c r="E94" s="4" cm="1">
        <f t="array" ref="E94">SUM((MMULT(ISNUMBER(SEARCH(TRANSPOSE(category!$C$2:$C$4), A94))*1, ROW(category!$C$2:$C$4)^0)&gt;0)*1)</f>
        <v>0</v>
      </c>
      <c r="F94" s="4" cm="1">
        <f t="array" ref="F94">SUM((MMULT(ISNUMBER(SEARCH(TRANSPOSE(category!$D$2:$D$10), A94))*1, ROW(category!$D$2:$D$10)^0)&gt;0)*1)</f>
        <v>1</v>
      </c>
      <c r="G94" s="4" cm="1">
        <f t="array" ref="G94">SUM((MMULT(ISNUMBER(SEARCH(TRANSPOSE(category!$E$2:$E$8), A94))*1, ROW(category!$E$2:$E$8)^0)&gt;0)*1)</f>
        <v>0</v>
      </c>
      <c r="H94" s="4" cm="1">
        <f t="array" ref="H94">SUM((MMULT(ISNUMBER(SEARCH(TRANSPOSE(category!$F$2:$F$9), A94))*1, ROW(category!$F$2:$F$9)^0)&gt;0)*1)</f>
        <v>0</v>
      </c>
    </row>
    <row r="95" spans="1:8" x14ac:dyDescent="0.45">
      <c r="A95" t="s">
        <v>209</v>
      </c>
      <c r="B95" s="6">
        <f t="shared" si="1"/>
        <v>7</v>
      </c>
      <c r="C95" s="4" cm="1">
        <f t="array" ref="C95">SUM((MMULT(ISNUMBER(SEARCH(TRANSPOSE(category!$A$2:$A$11), A95))*1, ROW(category!$A$2:$A$11)^0)&gt;0)*1)</f>
        <v>0</v>
      </c>
      <c r="D95" s="4" cm="1">
        <f t="array" ref="D95">SUM((MMULT(ISNUMBER(SEARCH(TRANSPOSE(category!$B$2:$B$25), A95))*1, ROW(category!$B$2:$B$25)^0)&gt;0)*1)</f>
        <v>1</v>
      </c>
      <c r="E95" s="4" cm="1">
        <f t="array" ref="E95">SUM((MMULT(ISNUMBER(SEARCH(TRANSPOSE(category!$C$2:$C$4), A95))*1, ROW(category!$C$2:$C$4)^0)&gt;0)*1)</f>
        <v>0</v>
      </c>
      <c r="F95" s="4" cm="1">
        <f t="array" ref="F95">SUM((MMULT(ISNUMBER(SEARCH(TRANSPOSE(category!$D$2:$D$10), A95))*1, ROW(category!$D$2:$D$10)^0)&gt;0)*1)</f>
        <v>0</v>
      </c>
      <c r="G95" s="4" cm="1">
        <f t="array" ref="G95">SUM((MMULT(ISNUMBER(SEARCH(TRANSPOSE(category!$E$2:$E$8), A95))*1, ROW(category!$E$2:$E$8)^0)&gt;0)*1)</f>
        <v>0</v>
      </c>
      <c r="H95" s="4" cm="1">
        <f t="array" ref="H95">SUM((MMULT(ISNUMBER(SEARCH(TRANSPOSE(category!$F$2:$F$9), A95))*1, ROW(category!$F$2:$F$9)^0)&gt;0)*1)</f>
        <v>0</v>
      </c>
    </row>
    <row r="96" spans="1:8" x14ac:dyDescent="0.45">
      <c r="A96" t="s">
        <v>211</v>
      </c>
      <c r="B96" s="6">
        <f t="shared" si="1"/>
        <v>5</v>
      </c>
      <c r="C96" s="4" cm="1">
        <f t="array" ref="C96">SUM((MMULT(ISNUMBER(SEARCH(TRANSPOSE(category!$A$2:$A$11), A96))*1, ROW(category!$A$2:$A$11)^0)&gt;0)*1)</f>
        <v>0</v>
      </c>
      <c r="D96" s="4" cm="1">
        <f t="array" ref="D96">SUM((MMULT(ISNUMBER(SEARCH(TRANSPOSE(category!$B$2:$B$25), A96))*1, ROW(category!$B$2:$B$25)^0)&gt;0)*1)</f>
        <v>0</v>
      </c>
      <c r="E96" s="4" cm="1">
        <f t="array" ref="E96">SUM((MMULT(ISNUMBER(SEARCH(TRANSPOSE(category!$C$2:$C$4), A96))*1, ROW(category!$C$2:$C$4)^0)&gt;0)*1)</f>
        <v>0</v>
      </c>
      <c r="F96" s="4" cm="1">
        <f t="array" ref="F96">SUM((MMULT(ISNUMBER(SEARCH(TRANSPOSE(category!$D$2:$D$10), A96))*1, ROW(category!$D$2:$D$10)^0)&gt;0)*1)</f>
        <v>1</v>
      </c>
      <c r="G96" s="4" cm="1">
        <f t="array" ref="G96">SUM((MMULT(ISNUMBER(SEARCH(TRANSPOSE(category!$E$2:$E$8), A96))*1, ROW(category!$E$2:$E$8)^0)&gt;0)*1)</f>
        <v>0</v>
      </c>
      <c r="H96" s="4" cm="1">
        <f t="array" ref="H96">SUM((MMULT(ISNUMBER(SEARCH(TRANSPOSE(category!$F$2:$F$9), A96))*1, ROW(category!$F$2:$F$9)^0)&gt;0)*1)</f>
        <v>0</v>
      </c>
    </row>
    <row r="97" spans="1:8" x14ac:dyDescent="0.45">
      <c r="A97" t="s">
        <v>213</v>
      </c>
      <c r="B97" s="6">
        <f t="shared" si="1"/>
        <v>2</v>
      </c>
      <c r="C97" s="4" cm="1">
        <f t="array" ref="C97">SUM((MMULT(ISNUMBER(SEARCH(TRANSPOSE(category!$A$2:$A$11), A97))*1, ROW(category!$A$2:$A$11)^0)&gt;0)*1)</f>
        <v>0</v>
      </c>
      <c r="D97" s="4" cm="1">
        <f t="array" ref="D97">SUM((MMULT(ISNUMBER(SEARCH(TRANSPOSE(category!$B$2:$B$25), A97))*1, ROW(category!$B$2:$B$25)^0)&gt;0)*1)</f>
        <v>1</v>
      </c>
      <c r="E97" s="4" cm="1">
        <f t="array" ref="E97">SUM((MMULT(ISNUMBER(SEARCH(TRANSPOSE(category!$C$2:$C$4), A97))*1, ROW(category!$C$2:$C$4)^0)&gt;0)*1)</f>
        <v>0</v>
      </c>
      <c r="F97" s="4" cm="1">
        <f t="array" ref="F97">SUM((MMULT(ISNUMBER(SEARCH(TRANSPOSE(category!$D$2:$D$10), A97))*1, ROW(category!$D$2:$D$10)^0)&gt;0)*1)</f>
        <v>0</v>
      </c>
      <c r="G97" s="4" cm="1">
        <f t="array" ref="G97">SUM((MMULT(ISNUMBER(SEARCH(TRANSPOSE(category!$E$2:$E$8), A97))*1, ROW(category!$E$2:$E$8)^0)&gt;0)*1)</f>
        <v>0</v>
      </c>
      <c r="H97" s="4" cm="1">
        <f t="array" ref="H97">SUM((MMULT(ISNUMBER(SEARCH(TRANSPOSE(category!$F$2:$F$9), A97))*1, ROW(category!$F$2:$F$9)^0)&gt;0)*1)</f>
        <v>0</v>
      </c>
    </row>
    <row r="98" spans="1:8" x14ac:dyDescent="0.45">
      <c r="A98" t="s">
        <v>215</v>
      </c>
      <c r="B98" s="6">
        <f t="shared" si="1"/>
        <v>16</v>
      </c>
      <c r="C98" s="4" cm="1">
        <f t="array" ref="C98">SUM((MMULT(ISNUMBER(SEARCH(TRANSPOSE(category!$A$2:$A$11), A98))*1, ROW(category!$A$2:$A$11)^0)&gt;0)*1)</f>
        <v>0</v>
      </c>
      <c r="D98" s="4" cm="1">
        <f t="array" ref="D98">SUM((MMULT(ISNUMBER(SEARCH(TRANSPOSE(category!$B$2:$B$25), A98))*1, ROW(category!$B$2:$B$25)^0)&gt;0)*1)</f>
        <v>1</v>
      </c>
      <c r="E98" s="4" cm="1">
        <f t="array" ref="E98">SUM((MMULT(ISNUMBER(SEARCH(TRANSPOSE(category!$C$2:$C$4), A98))*1, ROW(category!$C$2:$C$4)^0)&gt;0)*1)</f>
        <v>0</v>
      </c>
      <c r="F98" s="4" cm="1">
        <f t="array" ref="F98">SUM((MMULT(ISNUMBER(SEARCH(TRANSPOSE(category!$D$2:$D$10), A98))*1, ROW(category!$D$2:$D$10)^0)&gt;0)*1)</f>
        <v>1</v>
      </c>
      <c r="G98" s="4" cm="1">
        <f t="array" ref="G98">SUM((MMULT(ISNUMBER(SEARCH(TRANSPOSE(category!$E$2:$E$8), A98))*1, ROW(category!$E$2:$E$8)^0)&gt;0)*1)</f>
        <v>0</v>
      </c>
      <c r="H98" s="4" cm="1">
        <f t="array" ref="H98">SUM((MMULT(ISNUMBER(SEARCH(TRANSPOSE(category!$F$2:$F$9), A98))*1, ROW(category!$F$2:$F$9)^0)&gt;0)*1)</f>
        <v>0</v>
      </c>
    </row>
    <row r="99" spans="1:8" x14ac:dyDescent="0.45">
      <c r="A99" t="s">
        <v>217</v>
      </c>
      <c r="B99" s="6">
        <f t="shared" si="1"/>
        <v>6</v>
      </c>
      <c r="C99" s="4" cm="1">
        <f t="array" ref="C99">SUM((MMULT(ISNUMBER(SEARCH(TRANSPOSE(category!$A$2:$A$11), A99))*1, ROW(category!$A$2:$A$11)^0)&gt;0)*1)</f>
        <v>0</v>
      </c>
      <c r="D99" s="4" cm="1">
        <f t="array" ref="D99">SUM((MMULT(ISNUMBER(SEARCH(TRANSPOSE(category!$B$2:$B$25), A99))*1, ROW(category!$B$2:$B$25)^0)&gt;0)*1)</f>
        <v>1</v>
      </c>
      <c r="E99" s="4" cm="1">
        <f t="array" ref="E99">SUM((MMULT(ISNUMBER(SEARCH(TRANSPOSE(category!$C$2:$C$4), A99))*1, ROW(category!$C$2:$C$4)^0)&gt;0)*1)</f>
        <v>0</v>
      </c>
      <c r="F99" s="4" cm="1">
        <f t="array" ref="F99">SUM((MMULT(ISNUMBER(SEARCH(TRANSPOSE(category!$D$2:$D$10), A99))*1, ROW(category!$D$2:$D$10)^0)&gt;0)*1)</f>
        <v>1</v>
      </c>
      <c r="G99" s="4" cm="1">
        <f t="array" ref="G99">SUM((MMULT(ISNUMBER(SEARCH(TRANSPOSE(category!$E$2:$E$8), A99))*1, ROW(category!$E$2:$E$8)^0)&gt;0)*1)</f>
        <v>0</v>
      </c>
      <c r="H99" s="4" cm="1">
        <f t="array" ref="H99">SUM((MMULT(ISNUMBER(SEARCH(TRANSPOSE(category!$F$2:$F$9), A99))*1, ROW(category!$F$2:$F$9)^0)&gt;0)*1)</f>
        <v>0</v>
      </c>
    </row>
    <row r="100" spans="1:8" x14ac:dyDescent="0.45">
      <c r="A100" t="s">
        <v>219</v>
      </c>
      <c r="B100" s="6">
        <f t="shared" si="1"/>
        <v>5</v>
      </c>
      <c r="C100" s="4" cm="1">
        <f t="array" ref="C100">SUM((MMULT(ISNUMBER(SEARCH(TRANSPOSE(category!$A$2:$A$11), A100))*1, ROW(category!$A$2:$A$11)^0)&gt;0)*1)</f>
        <v>0</v>
      </c>
      <c r="D100" s="4" cm="1">
        <f t="array" ref="D100">SUM((MMULT(ISNUMBER(SEARCH(TRANSPOSE(category!$B$2:$B$25), A100))*1, ROW(category!$B$2:$B$25)^0)&gt;0)*1)</f>
        <v>1</v>
      </c>
      <c r="E100" s="4" cm="1">
        <f t="array" ref="E100">SUM((MMULT(ISNUMBER(SEARCH(TRANSPOSE(category!$C$2:$C$4), A100))*1, ROW(category!$C$2:$C$4)^0)&gt;0)*1)</f>
        <v>0</v>
      </c>
      <c r="F100" s="4" cm="1">
        <f t="array" ref="F100">SUM((MMULT(ISNUMBER(SEARCH(TRANSPOSE(category!$D$2:$D$10), A100))*1, ROW(category!$D$2:$D$10)^0)&gt;0)*1)</f>
        <v>0</v>
      </c>
      <c r="G100" s="4" cm="1">
        <f t="array" ref="G100">SUM((MMULT(ISNUMBER(SEARCH(TRANSPOSE(category!$E$2:$E$8), A100))*1, ROW(category!$E$2:$E$8)^0)&gt;0)*1)</f>
        <v>0</v>
      </c>
      <c r="H100" s="4" cm="1">
        <f t="array" ref="H100">SUM((MMULT(ISNUMBER(SEARCH(TRANSPOSE(category!$F$2:$F$9), A100))*1, ROW(category!$F$2:$F$9)^0)&gt;0)*1)</f>
        <v>0</v>
      </c>
    </row>
    <row r="101" spans="1:8" x14ac:dyDescent="0.45">
      <c r="A101" t="s">
        <v>222</v>
      </c>
      <c r="B101" s="6">
        <f t="shared" si="1"/>
        <v>2</v>
      </c>
      <c r="C101" s="4" cm="1">
        <f t="array" ref="C101">SUM((MMULT(ISNUMBER(SEARCH(TRANSPOSE(category!$A$2:$A$11), A101))*1, ROW(category!$A$2:$A$11)^0)&gt;0)*1)</f>
        <v>0</v>
      </c>
      <c r="D101" s="4" cm="1">
        <f t="array" ref="D101">SUM((MMULT(ISNUMBER(SEARCH(TRANSPOSE(category!$B$2:$B$25), A101))*1, ROW(category!$B$2:$B$25)^0)&gt;0)*1)</f>
        <v>1</v>
      </c>
      <c r="E101" s="4" cm="1">
        <f t="array" ref="E101">SUM((MMULT(ISNUMBER(SEARCH(TRANSPOSE(category!$C$2:$C$4), A101))*1, ROW(category!$C$2:$C$4)^0)&gt;0)*1)</f>
        <v>0</v>
      </c>
      <c r="F101" s="4" cm="1">
        <f t="array" ref="F101">SUM((MMULT(ISNUMBER(SEARCH(TRANSPOSE(category!$D$2:$D$10), A101))*1, ROW(category!$D$2:$D$10)^0)&gt;0)*1)</f>
        <v>0</v>
      </c>
      <c r="G101" s="4" cm="1">
        <f t="array" ref="G101">SUM((MMULT(ISNUMBER(SEARCH(TRANSPOSE(category!$E$2:$E$8), A101))*1, ROW(category!$E$2:$E$8)^0)&gt;0)*1)</f>
        <v>0</v>
      </c>
      <c r="H101" s="4" cm="1">
        <f t="array" ref="H101">SUM((MMULT(ISNUMBER(SEARCH(TRANSPOSE(category!$F$2:$F$9), A101))*1, ROW(category!$F$2:$F$9)^0)&gt;0)*1)</f>
        <v>0</v>
      </c>
    </row>
    <row r="102" spans="1:8" x14ac:dyDescent="0.45">
      <c r="A102" t="s">
        <v>224</v>
      </c>
      <c r="B102" s="6">
        <f t="shared" si="1"/>
        <v>11</v>
      </c>
      <c r="C102" s="4" cm="1">
        <f t="array" ref="C102">SUM((MMULT(ISNUMBER(SEARCH(TRANSPOSE(category!$A$2:$A$11), A102))*1, ROW(category!$A$2:$A$11)^0)&gt;0)*1)</f>
        <v>0</v>
      </c>
      <c r="D102" s="4" cm="1">
        <f t="array" ref="D102">SUM((MMULT(ISNUMBER(SEARCH(TRANSPOSE(category!$B$2:$B$25), A102))*1, ROW(category!$B$2:$B$25)^0)&gt;0)*1)</f>
        <v>0</v>
      </c>
      <c r="E102" s="4" cm="1">
        <f t="array" ref="E102">SUM((MMULT(ISNUMBER(SEARCH(TRANSPOSE(category!$C$2:$C$4), A102))*1, ROW(category!$C$2:$C$4)^0)&gt;0)*1)</f>
        <v>0</v>
      </c>
      <c r="F102" s="4" cm="1">
        <f t="array" ref="F102">SUM((MMULT(ISNUMBER(SEARCH(TRANSPOSE(category!$D$2:$D$10), A102))*1, ROW(category!$D$2:$D$10)^0)&gt;0)*1)</f>
        <v>1</v>
      </c>
      <c r="G102" s="4" cm="1">
        <f t="array" ref="G102">SUM((MMULT(ISNUMBER(SEARCH(TRANSPOSE(category!$E$2:$E$8), A102))*1, ROW(category!$E$2:$E$8)^0)&gt;0)*1)</f>
        <v>0</v>
      </c>
      <c r="H102" s="4" cm="1">
        <f t="array" ref="H102">SUM((MMULT(ISNUMBER(SEARCH(TRANSPOSE(category!$F$2:$F$9), A102))*1, ROW(category!$F$2:$F$9)^0)&gt;0)*1)</f>
        <v>0</v>
      </c>
    </row>
    <row r="103" spans="1:8" x14ac:dyDescent="0.45">
      <c r="A103" t="s">
        <v>226</v>
      </c>
      <c r="B103" s="6">
        <f t="shared" si="1"/>
        <v>8</v>
      </c>
      <c r="C103" s="4" cm="1">
        <f t="array" ref="C103">SUM((MMULT(ISNUMBER(SEARCH(TRANSPOSE(category!$A$2:$A$11), A103))*1, ROW(category!$A$2:$A$11)^0)&gt;0)*1)</f>
        <v>0</v>
      </c>
      <c r="D103" s="4" cm="1">
        <f t="array" ref="D103">SUM((MMULT(ISNUMBER(SEARCH(TRANSPOSE(category!$B$2:$B$25), A103))*1, ROW(category!$B$2:$B$25)^0)&gt;0)*1)</f>
        <v>0</v>
      </c>
      <c r="E103" s="4" cm="1">
        <f t="array" ref="E103">SUM((MMULT(ISNUMBER(SEARCH(TRANSPOSE(category!$C$2:$C$4), A103))*1, ROW(category!$C$2:$C$4)^0)&gt;0)*1)</f>
        <v>0</v>
      </c>
      <c r="F103" s="4" cm="1">
        <f t="array" ref="F103">SUM((MMULT(ISNUMBER(SEARCH(TRANSPOSE(category!$D$2:$D$10), A103))*1, ROW(category!$D$2:$D$10)^0)&gt;0)*1)</f>
        <v>1</v>
      </c>
      <c r="G103" s="4" cm="1">
        <f t="array" ref="G103">SUM((MMULT(ISNUMBER(SEARCH(TRANSPOSE(category!$E$2:$E$8), A103))*1, ROW(category!$E$2:$E$8)^0)&gt;0)*1)</f>
        <v>0</v>
      </c>
      <c r="H103" s="4" cm="1">
        <f t="array" ref="H103">SUM((MMULT(ISNUMBER(SEARCH(TRANSPOSE(category!$F$2:$F$9), A103))*1, ROW(category!$F$2:$F$9)^0)&gt;0)*1)</f>
        <v>0</v>
      </c>
    </row>
    <row r="104" spans="1:8" x14ac:dyDescent="0.45">
      <c r="A104" t="s">
        <v>228</v>
      </c>
      <c r="B104" s="6">
        <f t="shared" si="1"/>
        <v>5</v>
      </c>
      <c r="C104" s="4" cm="1">
        <f t="array" ref="C104">SUM((MMULT(ISNUMBER(SEARCH(TRANSPOSE(category!$A$2:$A$11), A104))*1, ROW(category!$A$2:$A$11)^0)&gt;0)*1)</f>
        <v>0</v>
      </c>
      <c r="D104" s="4" cm="1">
        <f t="array" ref="D104">SUM((MMULT(ISNUMBER(SEARCH(TRANSPOSE(category!$B$2:$B$25), A104))*1, ROW(category!$B$2:$B$25)^0)&gt;0)*1)</f>
        <v>1</v>
      </c>
      <c r="E104" s="4" cm="1">
        <f t="array" ref="E104">SUM((MMULT(ISNUMBER(SEARCH(TRANSPOSE(category!$C$2:$C$4), A104))*1, ROW(category!$C$2:$C$4)^0)&gt;0)*1)</f>
        <v>0</v>
      </c>
      <c r="F104" s="4" cm="1">
        <f t="array" ref="F104">SUM((MMULT(ISNUMBER(SEARCH(TRANSPOSE(category!$D$2:$D$10), A104))*1, ROW(category!$D$2:$D$10)^0)&gt;0)*1)</f>
        <v>0</v>
      </c>
      <c r="G104" s="4" cm="1">
        <f t="array" ref="G104">SUM((MMULT(ISNUMBER(SEARCH(TRANSPOSE(category!$E$2:$E$8), A104))*1, ROW(category!$E$2:$E$8)^0)&gt;0)*1)</f>
        <v>0</v>
      </c>
      <c r="H104" s="4" cm="1">
        <f t="array" ref="H104">SUM((MMULT(ISNUMBER(SEARCH(TRANSPOSE(category!$F$2:$F$9), A104))*1, ROW(category!$F$2:$F$9)^0)&gt;0)*1)</f>
        <v>0</v>
      </c>
    </row>
    <row r="105" spans="1:8" x14ac:dyDescent="0.45">
      <c r="A105" t="s">
        <v>230</v>
      </c>
      <c r="B105" s="6">
        <f t="shared" si="1"/>
        <v>4</v>
      </c>
      <c r="C105" s="4" cm="1">
        <f t="array" ref="C105">SUM((MMULT(ISNUMBER(SEARCH(TRANSPOSE(category!$A$2:$A$11), A105))*1, ROW(category!$A$2:$A$11)^0)&gt;0)*1)</f>
        <v>1</v>
      </c>
      <c r="D105" s="4" cm="1">
        <f t="array" ref="D105">SUM((MMULT(ISNUMBER(SEARCH(TRANSPOSE(category!$B$2:$B$25), A105))*1, ROW(category!$B$2:$B$25)^0)&gt;0)*1)</f>
        <v>1</v>
      </c>
      <c r="E105" s="4" cm="1">
        <f t="array" ref="E105">SUM((MMULT(ISNUMBER(SEARCH(TRANSPOSE(category!$C$2:$C$4), A105))*1, ROW(category!$C$2:$C$4)^0)&gt;0)*1)</f>
        <v>0</v>
      </c>
      <c r="F105" s="4" cm="1">
        <f t="array" ref="F105">SUM((MMULT(ISNUMBER(SEARCH(TRANSPOSE(category!$D$2:$D$10), A105))*1, ROW(category!$D$2:$D$10)^0)&gt;0)*1)</f>
        <v>0</v>
      </c>
      <c r="G105" s="4" cm="1">
        <f t="array" ref="G105">SUM((MMULT(ISNUMBER(SEARCH(TRANSPOSE(category!$E$2:$E$8), A105))*1, ROW(category!$E$2:$E$8)^0)&gt;0)*1)</f>
        <v>0</v>
      </c>
      <c r="H105" s="4" cm="1">
        <f t="array" ref="H105">SUM((MMULT(ISNUMBER(SEARCH(TRANSPOSE(category!$F$2:$F$9), A105))*1, ROW(category!$F$2:$F$9)^0)&gt;0)*1)</f>
        <v>0</v>
      </c>
    </row>
    <row r="106" spans="1:8" x14ac:dyDescent="0.45">
      <c r="A106" t="s">
        <v>232</v>
      </c>
      <c r="B106" s="6">
        <f t="shared" si="1"/>
        <v>7</v>
      </c>
      <c r="C106" s="4" cm="1">
        <f t="array" ref="C106">SUM((MMULT(ISNUMBER(SEARCH(TRANSPOSE(category!$A$2:$A$11), A106))*1, ROW(category!$A$2:$A$11)^0)&gt;0)*1)</f>
        <v>0</v>
      </c>
      <c r="D106" s="4" cm="1">
        <f t="array" ref="D106">SUM((MMULT(ISNUMBER(SEARCH(TRANSPOSE(category!$B$2:$B$25), A106))*1, ROW(category!$B$2:$B$25)^0)&gt;0)*1)</f>
        <v>1</v>
      </c>
      <c r="E106" s="4" cm="1">
        <f t="array" ref="E106">SUM((MMULT(ISNUMBER(SEARCH(TRANSPOSE(category!$C$2:$C$4), A106))*1, ROW(category!$C$2:$C$4)^0)&gt;0)*1)</f>
        <v>0</v>
      </c>
      <c r="F106" s="4" cm="1">
        <f t="array" ref="F106">SUM((MMULT(ISNUMBER(SEARCH(TRANSPOSE(category!$D$2:$D$10), A106))*1, ROW(category!$D$2:$D$10)^0)&gt;0)*1)</f>
        <v>1</v>
      </c>
      <c r="G106" s="4" cm="1">
        <f t="array" ref="G106">SUM((MMULT(ISNUMBER(SEARCH(TRANSPOSE(category!$E$2:$E$8), A106))*1, ROW(category!$E$2:$E$8)^0)&gt;0)*1)</f>
        <v>0</v>
      </c>
      <c r="H106" s="4" cm="1">
        <f t="array" ref="H106">SUM((MMULT(ISNUMBER(SEARCH(TRANSPOSE(category!$F$2:$F$9), A106))*1, ROW(category!$F$2:$F$9)^0)&gt;0)*1)</f>
        <v>0</v>
      </c>
    </row>
    <row r="107" spans="1:8" x14ac:dyDescent="0.45">
      <c r="A107" t="s">
        <v>234</v>
      </c>
      <c r="B107" s="6">
        <f t="shared" si="1"/>
        <v>2</v>
      </c>
      <c r="C107" s="4" cm="1">
        <f t="array" ref="C107">SUM((MMULT(ISNUMBER(SEARCH(TRANSPOSE(category!$A$2:$A$11), A107))*1, ROW(category!$A$2:$A$11)^0)&gt;0)*1)</f>
        <v>0</v>
      </c>
      <c r="D107" s="4" cm="1">
        <f t="array" ref="D107">SUM((MMULT(ISNUMBER(SEARCH(TRANSPOSE(category!$B$2:$B$25), A107))*1, ROW(category!$B$2:$B$25)^0)&gt;0)*1)</f>
        <v>1</v>
      </c>
      <c r="E107" s="4" cm="1">
        <f t="array" ref="E107">SUM((MMULT(ISNUMBER(SEARCH(TRANSPOSE(category!$C$2:$C$4), A107))*1, ROW(category!$C$2:$C$4)^0)&gt;0)*1)</f>
        <v>0</v>
      </c>
      <c r="F107" s="4" cm="1">
        <f t="array" ref="F107">SUM((MMULT(ISNUMBER(SEARCH(TRANSPOSE(category!$D$2:$D$10), A107))*1, ROW(category!$D$2:$D$10)^0)&gt;0)*1)</f>
        <v>0</v>
      </c>
      <c r="G107" s="4" cm="1">
        <f t="array" ref="G107">SUM((MMULT(ISNUMBER(SEARCH(TRANSPOSE(category!$E$2:$E$8), A107))*1, ROW(category!$E$2:$E$8)^0)&gt;0)*1)</f>
        <v>0</v>
      </c>
      <c r="H107" s="4" cm="1">
        <f t="array" ref="H107">SUM((MMULT(ISNUMBER(SEARCH(TRANSPOSE(category!$F$2:$F$9), A107))*1, ROW(category!$F$2:$F$9)^0)&gt;0)*1)</f>
        <v>0</v>
      </c>
    </row>
    <row r="108" spans="1:8" x14ac:dyDescent="0.45">
      <c r="A108" t="s">
        <v>236</v>
      </c>
      <c r="B108" s="6">
        <f t="shared" si="1"/>
        <v>8</v>
      </c>
      <c r="C108" s="4" cm="1">
        <f t="array" ref="C108">SUM((MMULT(ISNUMBER(SEARCH(TRANSPOSE(category!$A$2:$A$11), A108))*1, ROW(category!$A$2:$A$11)^0)&gt;0)*1)</f>
        <v>0</v>
      </c>
      <c r="D108" s="4" cm="1">
        <f t="array" ref="D108">SUM((MMULT(ISNUMBER(SEARCH(TRANSPOSE(category!$B$2:$B$25), A108))*1, ROW(category!$B$2:$B$25)^0)&gt;0)*1)</f>
        <v>1</v>
      </c>
      <c r="E108" s="4" cm="1">
        <f t="array" ref="E108">SUM((MMULT(ISNUMBER(SEARCH(TRANSPOSE(category!$C$2:$C$4), A108))*1, ROW(category!$C$2:$C$4)^0)&gt;0)*1)</f>
        <v>0</v>
      </c>
      <c r="F108" s="4" cm="1">
        <f t="array" ref="F108">SUM((MMULT(ISNUMBER(SEARCH(TRANSPOSE(category!$D$2:$D$10), A108))*1, ROW(category!$D$2:$D$10)^0)&gt;0)*1)</f>
        <v>0</v>
      </c>
      <c r="G108" s="4" cm="1">
        <f t="array" ref="G108">SUM((MMULT(ISNUMBER(SEARCH(TRANSPOSE(category!$E$2:$E$8), A108))*1, ROW(category!$E$2:$E$8)^0)&gt;0)*1)</f>
        <v>0</v>
      </c>
      <c r="H108" s="4" cm="1">
        <f t="array" ref="H108">SUM((MMULT(ISNUMBER(SEARCH(TRANSPOSE(category!$F$2:$F$9), A108))*1, ROW(category!$F$2:$F$9)^0)&gt;0)*1)</f>
        <v>0</v>
      </c>
    </row>
    <row r="109" spans="1:8" x14ac:dyDescent="0.45">
      <c r="A109" t="s">
        <v>238</v>
      </c>
      <c r="B109" s="6">
        <f t="shared" si="1"/>
        <v>3</v>
      </c>
      <c r="C109" s="4" cm="1">
        <f t="array" ref="C109">SUM((MMULT(ISNUMBER(SEARCH(TRANSPOSE(category!$A$2:$A$11), A109))*1, ROW(category!$A$2:$A$11)^0)&gt;0)*1)</f>
        <v>0</v>
      </c>
      <c r="D109" s="4" cm="1">
        <f t="array" ref="D109">SUM((MMULT(ISNUMBER(SEARCH(TRANSPOSE(category!$B$2:$B$25), A109))*1, ROW(category!$B$2:$B$25)^0)&gt;0)*1)</f>
        <v>1</v>
      </c>
      <c r="E109" s="4" cm="1">
        <f t="array" ref="E109">SUM((MMULT(ISNUMBER(SEARCH(TRANSPOSE(category!$C$2:$C$4), A109))*1, ROW(category!$C$2:$C$4)^0)&gt;0)*1)</f>
        <v>0</v>
      </c>
      <c r="F109" s="4" cm="1">
        <f t="array" ref="F109">SUM((MMULT(ISNUMBER(SEARCH(TRANSPOSE(category!$D$2:$D$10), A109))*1, ROW(category!$D$2:$D$10)^0)&gt;0)*1)</f>
        <v>0</v>
      </c>
      <c r="G109" s="4" cm="1">
        <f t="array" ref="G109">SUM((MMULT(ISNUMBER(SEARCH(TRANSPOSE(category!$E$2:$E$8), A109))*1, ROW(category!$E$2:$E$8)^0)&gt;0)*1)</f>
        <v>0</v>
      </c>
      <c r="H109" s="4" cm="1">
        <f t="array" ref="H109">SUM((MMULT(ISNUMBER(SEARCH(TRANSPOSE(category!$F$2:$F$9), A109))*1, ROW(category!$F$2:$F$9)^0)&gt;0)*1)</f>
        <v>0</v>
      </c>
    </row>
    <row r="110" spans="1:8" x14ac:dyDescent="0.45">
      <c r="A110" t="s">
        <v>240</v>
      </c>
      <c r="B110" s="6">
        <f t="shared" si="1"/>
        <v>3</v>
      </c>
      <c r="C110" s="4" cm="1">
        <f t="array" ref="C110">SUM((MMULT(ISNUMBER(SEARCH(TRANSPOSE(category!$A$2:$A$11), A110))*1, ROW(category!$A$2:$A$11)^0)&gt;0)*1)</f>
        <v>0</v>
      </c>
      <c r="D110" s="4" cm="1">
        <f t="array" ref="D110">SUM((MMULT(ISNUMBER(SEARCH(TRANSPOSE(category!$B$2:$B$25), A110))*1, ROW(category!$B$2:$B$25)^0)&gt;0)*1)</f>
        <v>0</v>
      </c>
      <c r="E110" s="4" cm="1">
        <f t="array" ref="E110">SUM((MMULT(ISNUMBER(SEARCH(TRANSPOSE(category!$C$2:$C$4), A110))*1, ROW(category!$C$2:$C$4)^0)&gt;0)*1)</f>
        <v>0</v>
      </c>
      <c r="F110" s="4" cm="1">
        <f t="array" ref="F110">SUM((MMULT(ISNUMBER(SEARCH(TRANSPOSE(category!$D$2:$D$10), A110))*1, ROW(category!$D$2:$D$10)^0)&gt;0)*1)</f>
        <v>0</v>
      </c>
      <c r="G110" s="4" cm="1">
        <f t="array" ref="G110">SUM((MMULT(ISNUMBER(SEARCH(TRANSPOSE(category!$E$2:$E$8), A110))*1, ROW(category!$E$2:$E$8)^0)&gt;0)*1)</f>
        <v>0</v>
      </c>
      <c r="H110" s="4" cm="1">
        <f t="array" ref="H110">SUM((MMULT(ISNUMBER(SEARCH(TRANSPOSE(category!$F$2:$F$9), A110))*1, ROW(category!$F$2:$F$9)^0)&gt;0)*1)</f>
        <v>0</v>
      </c>
    </row>
    <row r="111" spans="1:8" x14ac:dyDescent="0.45">
      <c r="A111" t="s">
        <v>242</v>
      </c>
      <c r="B111" s="6">
        <f t="shared" si="1"/>
        <v>2</v>
      </c>
      <c r="C111" s="4" cm="1">
        <f t="array" ref="C111">SUM((MMULT(ISNUMBER(SEARCH(TRANSPOSE(category!$A$2:$A$11), A111))*1, ROW(category!$A$2:$A$11)^0)&gt;0)*1)</f>
        <v>0</v>
      </c>
      <c r="D111" s="4" cm="1">
        <f t="array" ref="D111">SUM((MMULT(ISNUMBER(SEARCH(TRANSPOSE(category!$B$2:$B$25), A111))*1, ROW(category!$B$2:$B$25)^0)&gt;0)*1)</f>
        <v>1</v>
      </c>
      <c r="E111" s="4" cm="1">
        <f t="array" ref="E111">SUM((MMULT(ISNUMBER(SEARCH(TRANSPOSE(category!$C$2:$C$4), A111))*1, ROW(category!$C$2:$C$4)^0)&gt;0)*1)</f>
        <v>0</v>
      </c>
      <c r="F111" s="4" cm="1">
        <f t="array" ref="F111">SUM((MMULT(ISNUMBER(SEARCH(TRANSPOSE(category!$D$2:$D$10), A111))*1, ROW(category!$D$2:$D$10)^0)&gt;0)*1)</f>
        <v>0</v>
      </c>
      <c r="G111" s="4" cm="1">
        <f t="array" ref="G111">SUM((MMULT(ISNUMBER(SEARCH(TRANSPOSE(category!$E$2:$E$8), A111))*1, ROW(category!$E$2:$E$8)^0)&gt;0)*1)</f>
        <v>0</v>
      </c>
      <c r="H111" s="4" cm="1">
        <f t="array" ref="H111">SUM((MMULT(ISNUMBER(SEARCH(TRANSPOSE(category!$F$2:$F$9), A111))*1, ROW(category!$F$2:$F$9)^0)&gt;0)*1)</f>
        <v>0</v>
      </c>
    </row>
    <row r="112" spans="1:8" x14ac:dyDescent="0.45">
      <c r="A112" t="s">
        <v>244</v>
      </c>
      <c r="B112" s="6">
        <f t="shared" si="1"/>
        <v>1</v>
      </c>
      <c r="C112" s="4" cm="1">
        <f t="array" ref="C112">SUM((MMULT(ISNUMBER(SEARCH(TRANSPOSE(category!$A$2:$A$11), A112))*1, ROW(category!$A$2:$A$11)^0)&gt;0)*1)</f>
        <v>0</v>
      </c>
      <c r="D112" s="4" cm="1">
        <f t="array" ref="D112">SUM((MMULT(ISNUMBER(SEARCH(TRANSPOSE(category!$B$2:$B$25), A112))*1, ROW(category!$B$2:$B$25)^0)&gt;0)*1)</f>
        <v>1</v>
      </c>
      <c r="E112" s="4" cm="1">
        <f t="array" ref="E112">SUM((MMULT(ISNUMBER(SEARCH(TRANSPOSE(category!$C$2:$C$4), A112))*1, ROW(category!$C$2:$C$4)^0)&gt;0)*1)</f>
        <v>0</v>
      </c>
      <c r="F112" s="4" cm="1">
        <f t="array" ref="F112">SUM((MMULT(ISNUMBER(SEARCH(TRANSPOSE(category!$D$2:$D$10), A112))*1, ROW(category!$D$2:$D$10)^0)&gt;0)*1)</f>
        <v>0</v>
      </c>
      <c r="G112" s="4" cm="1">
        <f t="array" ref="G112">SUM((MMULT(ISNUMBER(SEARCH(TRANSPOSE(category!$E$2:$E$8), A112))*1, ROW(category!$E$2:$E$8)^0)&gt;0)*1)</f>
        <v>0</v>
      </c>
      <c r="H112" s="4" cm="1">
        <f t="array" ref="H112">SUM((MMULT(ISNUMBER(SEARCH(TRANSPOSE(category!$F$2:$F$9), A112))*1, ROW(category!$F$2:$F$9)^0)&gt;0)*1)</f>
        <v>0</v>
      </c>
    </row>
    <row r="113" spans="1:8" x14ac:dyDescent="0.45">
      <c r="A113" t="s">
        <v>246</v>
      </c>
      <c r="B113" s="6">
        <f t="shared" si="1"/>
        <v>2</v>
      </c>
      <c r="C113" s="4" cm="1">
        <f t="array" ref="C113">SUM((MMULT(ISNUMBER(SEARCH(TRANSPOSE(category!$A$2:$A$11), A113))*1, ROW(category!$A$2:$A$11)^0)&gt;0)*1)</f>
        <v>0</v>
      </c>
      <c r="D113" s="4" cm="1">
        <f t="array" ref="D113">SUM((MMULT(ISNUMBER(SEARCH(TRANSPOSE(category!$B$2:$B$25), A113))*1, ROW(category!$B$2:$B$25)^0)&gt;0)*1)</f>
        <v>1</v>
      </c>
      <c r="E113" s="4" cm="1">
        <f t="array" ref="E113">SUM((MMULT(ISNUMBER(SEARCH(TRANSPOSE(category!$C$2:$C$4), A113))*1, ROW(category!$C$2:$C$4)^0)&gt;0)*1)</f>
        <v>0</v>
      </c>
      <c r="F113" s="4" cm="1">
        <f t="array" ref="F113">SUM((MMULT(ISNUMBER(SEARCH(TRANSPOSE(category!$D$2:$D$10), A113))*1, ROW(category!$D$2:$D$10)^0)&gt;0)*1)</f>
        <v>0</v>
      </c>
      <c r="G113" s="4" cm="1">
        <f t="array" ref="G113">SUM((MMULT(ISNUMBER(SEARCH(TRANSPOSE(category!$E$2:$E$8), A113))*1, ROW(category!$E$2:$E$8)^0)&gt;0)*1)</f>
        <v>0</v>
      </c>
      <c r="H113" s="4" cm="1">
        <f t="array" ref="H113">SUM((MMULT(ISNUMBER(SEARCH(TRANSPOSE(category!$F$2:$F$9), A113))*1, ROW(category!$F$2:$F$9)^0)&gt;0)*1)</f>
        <v>0</v>
      </c>
    </row>
    <row r="114" spans="1:8" x14ac:dyDescent="0.45">
      <c r="A114" t="s">
        <v>248</v>
      </c>
      <c r="B114" s="6">
        <f t="shared" si="1"/>
        <v>1</v>
      </c>
      <c r="C114" s="4" cm="1">
        <f t="array" ref="C114">SUM((MMULT(ISNUMBER(SEARCH(TRANSPOSE(category!$A$2:$A$11), A114))*1, ROW(category!$A$2:$A$11)^0)&gt;0)*1)</f>
        <v>0</v>
      </c>
      <c r="D114" s="4" cm="1">
        <f t="array" ref="D114">SUM((MMULT(ISNUMBER(SEARCH(TRANSPOSE(category!$B$2:$B$25), A114))*1, ROW(category!$B$2:$B$25)^0)&gt;0)*1)</f>
        <v>0</v>
      </c>
      <c r="E114" s="4" cm="1">
        <f t="array" ref="E114">SUM((MMULT(ISNUMBER(SEARCH(TRANSPOSE(category!$C$2:$C$4), A114))*1, ROW(category!$C$2:$C$4)^0)&gt;0)*1)</f>
        <v>0</v>
      </c>
      <c r="F114" s="4" cm="1">
        <f t="array" ref="F114">SUM((MMULT(ISNUMBER(SEARCH(TRANSPOSE(category!$D$2:$D$10), A114))*1, ROW(category!$D$2:$D$10)^0)&gt;0)*1)</f>
        <v>0</v>
      </c>
      <c r="G114" s="4" cm="1">
        <f t="array" ref="G114">SUM((MMULT(ISNUMBER(SEARCH(TRANSPOSE(category!$E$2:$E$8), A114))*1, ROW(category!$E$2:$E$8)^0)&gt;0)*1)</f>
        <v>0</v>
      </c>
      <c r="H114" s="4" cm="1">
        <f t="array" ref="H114">SUM((MMULT(ISNUMBER(SEARCH(TRANSPOSE(category!$F$2:$F$9), A114))*1, ROW(category!$F$2:$F$9)^0)&gt;0)*1)</f>
        <v>0</v>
      </c>
    </row>
    <row r="115" spans="1:8" x14ac:dyDescent="0.45">
      <c r="A115" t="s">
        <v>250</v>
      </c>
      <c r="B115" s="6">
        <f t="shared" si="1"/>
        <v>2</v>
      </c>
      <c r="C115" s="4" cm="1">
        <f t="array" ref="C115">SUM((MMULT(ISNUMBER(SEARCH(TRANSPOSE(category!$A$2:$A$11), A115))*1, ROW(category!$A$2:$A$11)^0)&gt;0)*1)</f>
        <v>0</v>
      </c>
      <c r="D115" s="4" cm="1">
        <f t="array" ref="D115">SUM((MMULT(ISNUMBER(SEARCH(TRANSPOSE(category!$B$2:$B$25), A115))*1, ROW(category!$B$2:$B$25)^0)&gt;0)*1)</f>
        <v>1</v>
      </c>
      <c r="E115" s="4" cm="1">
        <f t="array" ref="E115">SUM((MMULT(ISNUMBER(SEARCH(TRANSPOSE(category!$C$2:$C$4), A115))*1, ROW(category!$C$2:$C$4)^0)&gt;0)*1)</f>
        <v>0</v>
      </c>
      <c r="F115" s="4" cm="1">
        <f t="array" ref="F115">SUM((MMULT(ISNUMBER(SEARCH(TRANSPOSE(category!$D$2:$D$10), A115))*1, ROW(category!$D$2:$D$10)^0)&gt;0)*1)</f>
        <v>0</v>
      </c>
      <c r="G115" s="4" cm="1">
        <f t="array" ref="G115">SUM((MMULT(ISNUMBER(SEARCH(TRANSPOSE(category!$E$2:$E$8), A115))*1, ROW(category!$E$2:$E$8)^0)&gt;0)*1)</f>
        <v>0</v>
      </c>
      <c r="H115" s="4" cm="1">
        <f t="array" ref="H115">SUM((MMULT(ISNUMBER(SEARCH(TRANSPOSE(category!$F$2:$F$9), A115))*1, ROW(category!$F$2:$F$9)^0)&gt;0)*1)</f>
        <v>0</v>
      </c>
    </row>
    <row r="116" spans="1:8" x14ac:dyDescent="0.45">
      <c r="A116" t="s">
        <v>253</v>
      </c>
      <c r="B116" s="6">
        <f t="shared" si="1"/>
        <v>17</v>
      </c>
      <c r="C116" s="4" cm="1">
        <f t="array" ref="C116">SUM((MMULT(ISNUMBER(SEARCH(TRANSPOSE(category!$A$2:$A$11), A116))*1, ROW(category!$A$2:$A$11)^0)&gt;0)*1)</f>
        <v>0</v>
      </c>
      <c r="D116" s="4" cm="1">
        <f t="array" ref="D116">SUM((MMULT(ISNUMBER(SEARCH(TRANSPOSE(category!$B$2:$B$25), A116))*1, ROW(category!$B$2:$B$25)^0)&gt;0)*1)</f>
        <v>1</v>
      </c>
      <c r="E116" s="4" cm="1">
        <f t="array" ref="E116">SUM((MMULT(ISNUMBER(SEARCH(TRANSPOSE(category!$C$2:$C$4), A116))*1, ROW(category!$C$2:$C$4)^0)&gt;0)*1)</f>
        <v>0</v>
      </c>
      <c r="F116" s="4" cm="1">
        <f t="array" ref="F116">SUM((MMULT(ISNUMBER(SEARCH(TRANSPOSE(category!$D$2:$D$10), A116))*1, ROW(category!$D$2:$D$10)^0)&gt;0)*1)</f>
        <v>0</v>
      </c>
      <c r="G116" s="4" cm="1">
        <f t="array" ref="G116">SUM((MMULT(ISNUMBER(SEARCH(TRANSPOSE(category!$E$2:$E$8), A116))*1, ROW(category!$E$2:$E$8)^0)&gt;0)*1)</f>
        <v>0</v>
      </c>
      <c r="H116" s="4" cm="1">
        <f t="array" ref="H116">SUM((MMULT(ISNUMBER(SEARCH(TRANSPOSE(category!$F$2:$F$9), A116))*1, ROW(category!$F$2:$F$9)^0)&gt;0)*1)</f>
        <v>0</v>
      </c>
    </row>
    <row r="117" spans="1:8" x14ac:dyDescent="0.45">
      <c r="A117" t="s">
        <v>255</v>
      </c>
      <c r="B117" s="6">
        <f t="shared" si="1"/>
        <v>89</v>
      </c>
      <c r="C117" s="4" cm="1">
        <f t="array" ref="C117">SUM((MMULT(ISNUMBER(SEARCH(TRANSPOSE(category!$A$2:$A$11), A117))*1, ROW(category!$A$2:$A$11)^0)&gt;0)*1)</f>
        <v>1</v>
      </c>
      <c r="D117" s="4" cm="1">
        <f t="array" ref="D117">SUM((MMULT(ISNUMBER(SEARCH(TRANSPOSE(category!$B$2:$B$25), A117))*1, ROW(category!$B$2:$B$25)^0)&gt;0)*1)</f>
        <v>1</v>
      </c>
      <c r="E117" s="4" cm="1">
        <f t="array" ref="E117">SUM((MMULT(ISNUMBER(SEARCH(TRANSPOSE(category!$C$2:$C$4), A117))*1, ROW(category!$C$2:$C$4)^0)&gt;0)*1)</f>
        <v>0</v>
      </c>
      <c r="F117" s="4" cm="1">
        <f t="array" ref="F117">SUM((MMULT(ISNUMBER(SEARCH(TRANSPOSE(category!$D$2:$D$10), A117))*1, ROW(category!$D$2:$D$10)^0)&gt;0)*1)</f>
        <v>1</v>
      </c>
      <c r="G117" s="4" cm="1">
        <f t="array" ref="G117">SUM((MMULT(ISNUMBER(SEARCH(TRANSPOSE(category!$E$2:$E$8), A117))*1, ROW(category!$E$2:$E$8)^0)&gt;0)*1)</f>
        <v>0</v>
      </c>
      <c r="H117" s="4" cm="1">
        <f t="array" ref="H117">SUM((MMULT(ISNUMBER(SEARCH(TRANSPOSE(category!$F$2:$F$9), A117))*1, ROW(category!$F$2:$F$9)^0)&gt;0)*1)</f>
        <v>0</v>
      </c>
    </row>
    <row r="118" spans="1:8" x14ac:dyDescent="0.45">
      <c r="A118" t="s">
        <v>257</v>
      </c>
      <c r="B118" s="6">
        <f t="shared" si="1"/>
        <v>61</v>
      </c>
      <c r="C118" s="4" cm="1">
        <f t="array" ref="C118">SUM((MMULT(ISNUMBER(SEARCH(TRANSPOSE(category!$A$2:$A$11), A118))*1, ROW(category!$A$2:$A$11)^0)&gt;0)*1)</f>
        <v>1</v>
      </c>
      <c r="D118" s="4" cm="1">
        <f t="array" ref="D118">SUM((MMULT(ISNUMBER(SEARCH(TRANSPOSE(category!$B$2:$B$25), A118))*1, ROW(category!$B$2:$B$25)^0)&gt;0)*1)</f>
        <v>1</v>
      </c>
      <c r="E118" s="4" cm="1">
        <f t="array" ref="E118">SUM((MMULT(ISNUMBER(SEARCH(TRANSPOSE(category!$C$2:$C$4), A118))*1, ROW(category!$C$2:$C$4)^0)&gt;0)*1)</f>
        <v>0</v>
      </c>
      <c r="F118" s="4" cm="1">
        <f t="array" ref="F118">SUM((MMULT(ISNUMBER(SEARCH(TRANSPOSE(category!$D$2:$D$10), A118))*1, ROW(category!$D$2:$D$10)^0)&gt;0)*1)</f>
        <v>1</v>
      </c>
      <c r="G118" s="4" cm="1">
        <f t="array" ref="G118">SUM((MMULT(ISNUMBER(SEARCH(TRANSPOSE(category!$E$2:$E$8), A118))*1, ROW(category!$E$2:$E$8)^0)&gt;0)*1)</f>
        <v>0</v>
      </c>
      <c r="H118" s="4" cm="1">
        <f t="array" ref="H118">SUM((MMULT(ISNUMBER(SEARCH(TRANSPOSE(category!$F$2:$F$9), A118))*1, ROW(category!$F$2:$F$9)^0)&gt;0)*1)</f>
        <v>0</v>
      </c>
    </row>
    <row r="119" spans="1:8" x14ac:dyDescent="0.45">
      <c r="A119" t="s">
        <v>260</v>
      </c>
      <c r="B119" s="6">
        <f t="shared" si="1"/>
        <v>45</v>
      </c>
      <c r="C119" s="4" cm="1">
        <f t="array" ref="C119">SUM((MMULT(ISNUMBER(SEARCH(TRANSPOSE(category!$A$2:$A$11), A119))*1, ROW(category!$A$2:$A$11)^0)&gt;0)*1)</f>
        <v>0</v>
      </c>
      <c r="D119" s="4" cm="1">
        <f t="array" ref="D119">SUM((MMULT(ISNUMBER(SEARCH(TRANSPOSE(category!$B$2:$B$25), A119))*1, ROW(category!$B$2:$B$25)^0)&gt;0)*1)</f>
        <v>1</v>
      </c>
      <c r="E119" s="4" cm="1">
        <f t="array" ref="E119">SUM((MMULT(ISNUMBER(SEARCH(TRANSPOSE(category!$C$2:$C$4), A119))*1, ROW(category!$C$2:$C$4)^0)&gt;0)*1)</f>
        <v>1</v>
      </c>
      <c r="F119" s="4" cm="1">
        <f t="array" ref="F119">SUM((MMULT(ISNUMBER(SEARCH(TRANSPOSE(category!$D$2:$D$10), A119))*1, ROW(category!$D$2:$D$10)^0)&gt;0)*1)</f>
        <v>1</v>
      </c>
      <c r="G119" s="4" cm="1">
        <f t="array" ref="G119">SUM((MMULT(ISNUMBER(SEARCH(TRANSPOSE(category!$E$2:$E$8), A119))*1, ROW(category!$E$2:$E$8)^0)&gt;0)*1)</f>
        <v>0</v>
      </c>
      <c r="H119" s="4" cm="1">
        <f t="array" ref="H119">SUM((MMULT(ISNUMBER(SEARCH(TRANSPOSE(category!$F$2:$F$9), A119))*1, ROW(category!$F$2:$F$9)^0)&gt;0)*1)</f>
        <v>0</v>
      </c>
    </row>
    <row r="120" spans="1:8" x14ac:dyDescent="0.45">
      <c r="A120" t="s">
        <v>262</v>
      </c>
      <c r="B120" s="6">
        <f t="shared" si="1"/>
        <v>89</v>
      </c>
      <c r="C120" s="4" cm="1">
        <f t="array" ref="C120">SUM((MMULT(ISNUMBER(SEARCH(TRANSPOSE(category!$A$2:$A$11), A120))*1, ROW(category!$A$2:$A$11)^0)&gt;0)*1)</f>
        <v>1</v>
      </c>
      <c r="D120" s="4" cm="1">
        <f t="array" ref="D120">SUM((MMULT(ISNUMBER(SEARCH(TRANSPOSE(category!$B$2:$B$25), A120))*1, ROW(category!$B$2:$B$25)^0)&gt;0)*1)</f>
        <v>1</v>
      </c>
      <c r="E120" s="4" cm="1">
        <f t="array" ref="E120">SUM((MMULT(ISNUMBER(SEARCH(TRANSPOSE(category!$C$2:$C$4), A120))*1, ROW(category!$C$2:$C$4)^0)&gt;0)*1)</f>
        <v>1</v>
      </c>
      <c r="F120" s="4" cm="1">
        <f t="array" ref="F120">SUM((MMULT(ISNUMBER(SEARCH(TRANSPOSE(category!$D$2:$D$10), A120))*1, ROW(category!$D$2:$D$10)^0)&gt;0)*1)</f>
        <v>1</v>
      </c>
      <c r="G120" s="4" cm="1">
        <f t="array" ref="G120">SUM((MMULT(ISNUMBER(SEARCH(TRANSPOSE(category!$E$2:$E$8), A120))*1, ROW(category!$E$2:$E$8)^0)&gt;0)*1)</f>
        <v>0</v>
      </c>
      <c r="H120" s="4" cm="1">
        <f t="array" ref="H120">SUM((MMULT(ISNUMBER(SEARCH(TRANSPOSE(category!$F$2:$F$9), A120))*1, ROW(category!$F$2:$F$9)^0)&gt;0)*1)</f>
        <v>0</v>
      </c>
    </row>
    <row r="121" spans="1:8" x14ac:dyDescent="0.45">
      <c r="A121" t="s">
        <v>265</v>
      </c>
      <c r="B121" s="6">
        <f t="shared" si="1"/>
        <v>18</v>
      </c>
      <c r="C121" s="4" cm="1">
        <f t="array" ref="C121">SUM((MMULT(ISNUMBER(SEARCH(TRANSPOSE(category!$A$2:$A$11), A121))*1, ROW(category!$A$2:$A$11)^0)&gt;0)*1)</f>
        <v>0</v>
      </c>
      <c r="D121" s="4" cm="1">
        <f t="array" ref="D121">SUM((MMULT(ISNUMBER(SEARCH(TRANSPOSE(category!$B$2:$B$25), A121))*1, ROW(category!$B$2:$B$25)^0)&gt;0)*1)</f>
        <v>1</v>
      </c>
      <c r="E121" s="4" cm="1">
        <f t="array" ref="E121">SUM((MMULT(ISNUMBER(SEARCH(TRANSPOSE(category!$C$2:$C$4), A121))*1, ROW(category!$C$2:$C$4)^0)&gt;0)*1)</f>
        <v>0</v>
      </c>
      <c r="F121" s="4" cm="1">
        <f t="array" ref="F121">SUM((MMULT(ISNUMBER(SEARCH(TRANSPOSE(category!$D$2:$D$10), A121))*1, ROW(category!$D$2:$D$10)^0)&gt;0)*1)</f>
        <v>0</v>
      </c>
      <c r="G121" s="4" cm="1">
        <f t="array" ref="G121">SUM((MMULT(ISNUMBER(SEARCH(TRANSPOSE(category!$E$2:$E$8), A121))*1, ROW(category!$E$2:$E$8)^0)&gt;0)*1)</f>
        <v>0</v>
      </c>
      <c r="H121" s="4" cm="1">
        <f t="array" ref="H121">SUM((MMULT(ISNUMBER(SEARCH(TRANSPOSE(category!$F$2:$F$9), A121))*1, ROW(category!$F$2:$F$9)^0)&gt;0)*1)</f>
        <v>0</v>
      </c>
    </row>
    <row r="122" spans="1:8" x14ac:dyDescent="0.45">
      <c r="A122" t="s">
        <v>267</v>
      </c>
      <c r="B122" s="6">
        <f t="shared" si="1"/>
        <v>51</v>
      </c>
      <c r="C122" s="4" cm="1">
        <f t="array" ref="C122">SUM((MMULT(ISNUMBER(SEARCH(TRANSPOSE(category!$A$2:$A$11), A122))*1, ROW(category!$A$2:$A$11)^0)&gt;0)*1)</f>
        <v>1</v>
      </c>
      <c r="D122" s="4" cm="1">
        <f t="array" ref="D122">SUM((MMULT(ISNUMBER(SEARCH(TRANSPOSE(category!$B$2:$B$25), A122))*1, ROW(category!$B$2:$B$25)^0)&gt;0)*1)</f>
        <v>1</v>
      </c>
      <c r="E122" s="4" cm="1">
        <f t="array" ref="E122">SUM((MMULT(ISNUMBER(SEARCH(TRANSPOSE(category!$C$2:$C$4), A122))*1, ROW(category!$C$2:$C$4)^0)&gt;0)*1)</f>
        <v>0</v>
      </c>
      <c r="F122" s="4" cm="1">
        <f t="array" ref="F122">SUM((MMULT(ISNUMBER(SEARCH(TRANSPOSE(category!$D$2:$D$10), A122))*1, ROW(category!$D$2:$D$10)^0)&gt;0)*1)</f>
        <v>1</v>
      </c>
      <c r="G122" s="4" cm="1">
        <f t="array" ref="G122">SUM((MMULT(ISNUMBER(SEARCH(TRANSPOSE(category!$E$2:$E$8), A122))*1, ROW(category!$E$2:$E$8)^0)&gt;0)*1)</f>
        <v>0</v>
      </c>
      <c r="H122" s="4" cm="1">
        <f t="array" ref="H122">SUM((MMULT(ISNUMBER(SEARCH(TRANSPOSE(category!$F$2:$F$9), A122))*1, ROW(category!$F$2:$F$9)^0)&gt;0)*1)</f>
        <v>0</v>
      </c>
    </row>
    <row r="123" spans="1:8" x14ac:dyDescent="0.45">
      <c r="A123" t="s">
        <v>270</v>
      </c>
      <c r="B123" s="6">
        <f t="shared" si="1"/>
        <v>47</v>
      </c>
      <c r="C123" s="4" cm="1">
        <f t="array" ref="C123">SUM((MMULT(ISNUMBER(SEARCH(TRANSPOSE(category!$A$2:$A$11), A123))*1, ROW(category!$A$2:$A$11)^0)&gt;0)*1)</f>
        <v>1</v>
      </c>
      <c r="D123" s="4" cm="1">
        <f t="array" ref="D123">SUM((MMULT(ISNUMBER(SEARCH(TRANSPOSE(category!$B$2:$B$25), A123))*1, ROW(category!$B$2:$B$25)^0)&gt;0)*1)</f>
        <v>1</v>
      </c>
      <c r="E123" s="4" cm="1">
        <f t="array" ref="E123">SUM((MMULT(ISNUMBER(SEARCH(TRANSPOSE(category!$C$2:$C$4), A123))*1, ROW(category!$C$2:$C$4)^0)&gt;0)*1)</f>
        <v>0</v>
      </c>
      <c r="F123" s="4" cm="1">
        <f t="array" ref="F123">SUM((MMULT(ISNUMBER(SEARCH(TRANSPOSE(category!$D$2:$D$10), A123))*1, ROW(category!$D$2:$D$10)^0)&gt;0)*1)</f>
        <v>1</v>
      </c>
      <c r="G123" s="4" cm="1">
        <f t="array" ref="G123">SUM((MMULT(ISNUMBER(SEARCH(TRANSPOSE(category!$E$2:$E$8), A123))*1, ROW(category!$E$2:$E$8)^0)&gt;0)*1)</f>
        <v>0</v>
      </c>
      <c r="H123" s="4" cm="1">
        <f t="array" ref="H123">SUM((MMULT(ISNUMBER(SEARCH(TRANSPOSE(category!$F$2:$F$9), A123))*1, ROW(category!$F$2:$F$9)^0)&gt;0)*1)</f>
        <v>0</v>
      </c>
    </row>
    <row r="124" spans="1:8" x14ac:dyDescent="0.45">
      <c r="A124" t="s">
        <v>272</v>
      </c>
      <c r="B124" s="6">
        <f t="shared" si="1"/>
        <v>15</v>
      </c>
      <c r="C124" s="4" cm="1">
        <f t="array" ref="C124">SUM((MMULT(ISNUMBER(SEARCH(TRANSPOSE(category!$A$2:$A$11), A124))*1, ROW(category!$A$2:$A$11)^0)&gt;0)*1)</f>
        <v>0</v>
      </c>
      <c r="D124" s="4" cm="1">
        <f t="array" ref="D124">SUM((MMULT(ISNUMBER(SEARCH(TRANSPOSE(category!$B$2:$B$25), A124))*1, ROW(category!$B$2:$B$25)^0)&gt;0)*1)</f>
        <v>1</v>
      </c>
      <c r="E124" s="4" cm="1">
        <f t="array" ref="E124">SUM((MMULT(ISNUMBER(SEARCH(TRANSPOSE(category!$C$2:$C$4), A124))*1, ROW(category!$C$2:$C$4)^0)&gt;0)*1)</f>
        <v>0</v>
      </c>
      <c r="F124" s="4" cm="1">
        <f t="array" ref="F124">SUM((MMULT(ISNUMBER(SEARCH(TRANSPOSE(category!$D$2:$D$10), A124))*1, ROW(category!$D$2:$D$10)^0)&gt;0)*1)</f>
        <v>0</v>
      </c>
      <c r="G124" s="4" cm="1">
        <f t="array" ref="G124">SUM((MMULT(ISNUMBER(SEARCH(TRANSPOSE(category!$E$2:$E$8), A124))*1, ROW(category!$E$2:$E$8)^0)&gt;0)*1)</f>
        <v>0</v>
      </c>
      <c r="H124" s="4" cm="1">
        <f t="array" ref="H124">SUM((MMULT(ISNUMBER(SEARCH(TRANSPOSE(category!$F$2:$F$9), A124))*1, ROW(category!$F$2:$F$9)^0)&gt;0)*1)</f>
        <v>0</v>
      </c>
    </row>
    <row r="125" spans="1:8" x14ac:dyDescent="0.45">
      <c r="A125" t="s">
        <v>274</v>
      </c>
      <c r="B125" s="6">
        <f t="shared" si="1"/>
        <v>99</v>
      </c>
      <c r="C125" s="4" cm="1">
        <f t="array" ref="C125">SUM((MMULT(ISNUMBER(SEARCH(TRANSPOSE(category!$A$2:$A$11), A125))*1, ROW(category!$A$2:$A$11)^0)&gt;0)*1)</f>
        <v>1</v>
      </c>
      <c r="D125" s="4" cm="1">
        <f t="array" ref="D125">SUM((MMULT(ISNUMBER(SEARCH(TRANSPOSE(category!$B$2:$B$25), A125))*1, ROW(category!$B$2:$B$25)^0)&gt;0)*1)</f>
        <v>1</v>
      </c>
      <c r="E125" s="4" cm="1">
        <f t="array" ref="E125">SUM((MMULT(ISNUMBER(SEARCH(TRANSPOSE(category!$C$2:$C$4), A125))*1, ROW(category!$C$2:$C$4)^0)&gt;0)*1)</f>
        <v>0</v>
      </c>
      <c r="F125" s="4" cm="1">
        <f t="array" ref="F125">SUM((MMULT(ISNUMBER(SEARCH(TRANSPOSE(category!$D$2:$D$10), A125))*1, ROW(category!$D$2:$D$10)^0)&gt;0)*1)</f>
        <v>1</v>
      </c>
      <c r="G125" s="4" cm="1">
        <f t="array" ref="G125">SUM((MMULT(ISNUMBER(SEARCH(TRANSPOSE(category!$E$2:$E$8), A125))*1, ROW(category!$E$2:$E$8)^0)&gt;0)*1)</f>
        <v>0</v>
      </c>
      <c r="H125" s="4" cm="1">
        <f t="array" ref="H125">SUM((MMULT(ISNUMBER(SEARCH(TRANSPOSE(category!$F$2:$F$9), A125))*1, ROW(category!$F$2:$F$9)^0)&gt;0)*1)</f>
        <v>0</v>
      </c>
    </row>
    <row r="126" spans="1:8" x14ac:dyDescent="0.45">
      <c r="A126" t="s">
        <v>276</v>
      </c>
      <c r="B126" s="6">
        <f t="shared" si="1"/>
        <v>22</v>
      </c>
      <c r="C126" s="4" cm="1">
        <f t="array" ref="C126">SUM((MMULT(ISNUMBER(SEARCH(TRANSPOSE(category!$A$2:$A$11), A126))*1, ROW(category!$A$2:$A$11)^0)&gt;0)*1)</f>
        <v>1</v>
      </c>
      <c r="D126" s="4" cm="1">
        <f t="array" ref="D126">SUM((MMULT(ISNUMBER(SEARCH(TRANSPOSE(category!$B$2:$B$25), A126))*1, ROW(category!$B$2:$B$25)^0)&gt;0)*1)</f>
        <v>1</v>
      </c>
      <c r="E126" s="4" cm="1">
        <f t="array" ref="E126">SUM((MMULT(ISNUMBER(SEARCH(TRANSPOSE(category!$C$2:$C$4), A126))*1, ROW(category!$C$2:$C$4)^0)&gt;0)*1)</f>
        <v>0</v>
      </c>
      <c r="F126" s="4" cm="1">
        <f t="array" ref="F126">SUM((MMULT(ISNUMBER(SEARCH(TRANSPOSE(category!$D$2:$D$10), A126))*1, ROW(category!$D$2:$D$10)^0)&gt;0)*1)</f>
        <v>1</v>
      </c>
      <c r="G126" s="4" cm="1">
        <f t="array" ref="G126">SUM((MMULT(ISNUMBER(SEARCH(TRANSPOSE(category!$E$2:$E$8), A126))*1, ROW(category!$E$2:$E$8)^0)&gt;0)*1)</f>
        <v>0</v>
      </c>
      <c r="H126" s="4" cm="1">
        <f t="array" ref="H126">SUM((MMULT(ISNUMBER(SEARCH(TRANSPOSE(category!$F$2:$F$9), A126))*1, ROW(category!$F$2:$F$9)^0)&gt;0)*1)</f>
        <v>0</v>
      </c>
    </row>
    <row r="127" spans="1:8" x14ac:dyDescent="0.45">
      <c r="A127" t="s">
        <v>278</v>
      </c>
      <c r="B127" s="6">
        <f t="shared" si="1"/>
        <v>42</v>
      </c>
      <c r="C127" s="4" cm="1">
        <f t="array" ref="C127">SUM((MMULT(ISNUMBER(SEARCH(TRANSPOSE(category!$A$2:$A$11), A127))*1, ROW(category!$A$2:$A$11)^0)&gt;0)*1)</f>
        <v>1</v>
      </c>
      <c r="D127" s="4" cm="1">
        <f t="array" ref="D127">SUM((MMULT(ISNUMBER(SEARCH(TRANSPOSE(category!$B$2:$B$25), A127))*1, ROW(category!$B$2:$B$25)^0)&gt;0)*1)</f>
        <v>1</v>
      </c>
      <c r="E127" s="4" cm="1">
        <f t="array" ref="E127">SUM((MMULT(ISNUMBER(SEARCH(TRANSPOSE(category!$C$2:$C$4), A127))*1, ROW(category!$C$2:$C$4)^0)&gt;0)*1)</f>
        <v>0</v>
      </c>
      <c r="F127" s="4" cm="1">
        <f t="array" ref="F127">SUM((MMULT(ISNUMBER(SEARCH(TRANSPOSE(category!$D$2:$D$10), A127))*1, ROW(category!$D$2:$D$10)^0)&gt;0)*1)</f>
        <v>1</v>
      </c>
      <c r="G127" s="4" cm="1">
        <f t="array" ref="G127">SUM((MMULT(ISNUMBER(SEARCH(TRANSPOSE(category!$E$2:$E$8), A127))*1, ROW(category!$E$2:$E$8)^0)&gt;0)*1)</f>
        <v>0</v>
      </c>
      <c r="H127" s="4" cm="1">
        <f t="array" ref="H127">SUM((MMULT(ISNUMBER(SEARCH(TRANSPOSE(category!$F$2:$F$9), A127))*1, ROW(category!$F$2:$F$9)^0)&gt;0)*1)</f>
        <v>0</v>
      </c>
    </row>
    <row r="128" spans="1:8" x14ac:dyDescent="0.45">
      <c r="A128" t="s">
        <v>280</v>
      </c>
      <c r="B128" s="6">
        <f t="shared" si="1"/>
        <v>38</v>
      </c>
      <c r="C128" s="4" cm="1">
        <f t="array" ref="C128">SUM((MMULT(ISNUMBER(SEARCH(TRANSPOSE(category!$A$2:$A$11), A128))*1, ROW(category!$A$2:$A$11)^0)&gt;0)*1)</f>
        <v>0</v>
      </c>
      <c r="D128" s="4" cm="1">
        <f t="array" ref="D128">SUM((MMULT(ISNUMBER(SEARCH(TRANSPOSE(category!$B$2:$B$25), A128))*1, ROW(category!$B$2:$B$25)^0)&gt;0)*1)</f>
        <v>1</v>
      </c>
      <c r="E128" s="4" cm="1">
        <f t="array" ref="E128">SUM((MMULT(ISNUMBER(SEARCH(TRANSPOSE(category!$C$2:$C$4), A128))*1, ROW(category!$C$2:$C$4)^0)&gt;0)*1)</f>
        <v>0</v>
      </c>
      <c r="F128" s="4" cm="1">
        <f t="array" ref="F128">SUM((MMULT(ISNUMBER(SEARCH(TRANSPOSE(category!$D$2:$D$10), A128))*1, ROW(category!$D$2:$D$10)^0)&gt;0)*1)</f>
        <v>1</v>
      </c>
      <c r="G128" s="4" cm="1">
        <f t="array" ref="G128">SUM((MMULT(ISNUMBER(SEARCH(TRANSPOSE(category!$E$2:$E$8), A128))*1, ROW(category!$E$2:$E$8)^0)&gt;0)*1)</f>
        <v>0</v>
      </c>
      <c r="H128" s="4" cm="1">
        <f t="array" ref="H128">SUM((MMULT(ISNUMBER(SEARCH(TRANSPOSE(category!$F$2:$F$9), A128))*1, ROW(category!$F$2:$F$9)^0)&gt;0)*1)</f>
        <v>0</v>
      </c>
    </row>
    <row r="129" spans="1:8" x14ac:dyDescent="0.45">
      <c r="A129" t="s">
        <v>282</v>
      </c>
      <c r="B129" s="6">
        <f t="shared" si="1"/>
        <v>87</v>
      </c>
      <c r="C129" s="4" cm="1">
        <f t="array" ref="C129">SUM((MMULT(ISNUMBER(SEARCH(TRANSPOSE(category!$A$2:$A$11), A129))*1, ROW(category!$A$2:$A$11)^0)&gt;0)*1)</f>
        <v>1</v>
      </c>
      <c r="D129" s="4" cm="1">
        <f t="array" ref="D129">SUM((MMULT(ISNUMBER(SEARCH(TRANSPOSE(category!$B$2:$B$25), A129))*1, ROW(category!$B$2:$B$25)^0)&gt;0)*1)</f>
        <v>1</v>
      </c>
      <c r="E129" s="4" cm="1">
        <f t="array" ref="E129">SUM((MMULT(ISNUMBER(SEARCH(TRANSPOSE(category!$C$2:$C$4), A129))*1, ROW(category!$C$2:$C$4)^0)&gt;0)*1)</f>
        <v>0</v>
      </c>
      <c r="F129" s="4" cm="1">
        <f t="array" ref="F129">SUM((MMULT(ISNUMBER(SEARCH(TRANSPOSE(category!$D$2:$D$10), A129))*1, ROW(category!$D$2:$D$10)^0)&gt;0)*1)</f>
        <v>1</v>
      </c>
      <c r="G129" s="4" cm="1">
        <f t="array" ref="G129">SUM((MMULT(ISNUMBER(SEARCH(TRANSPOSE(category!$E$2:$E$8), A129))*1, ROW(category!$E$2:$E$8)^0)&gt;0)*1)</f>
        <v>0</v>
      </c>
      <c r="H129" s="4" cm="1">
        <f t="array" ref="H129">SUM((MMULT(ISNUMBER(SEARCH(TRANSPOSE(category!$F$2:$F$9), A129))*1, ROW(category!$F$2:$F$9)^0)&gt;0)*1)</f>
        <v>0</v>
      </c>
    </row>
    <row r="130" spans="1:8" x14ac:dyDescent="0.45">
      <c r="A130" t="s">
        <v>284</v>
      </c>
      <c r="B130" s="6">
        <f t="shared" si="1"/>
        <v>87</v>
      </c>
      <c r="C130" s="4" cm="1">
        <f t="array" ref="C130">SUM((MMULT(ISNUMBER(SEARCH(TRANSPOSE(category!$A$2:$A$11), A130))*1, ROW(category!$A$2:$A$11)^0)&gt;0)*1)</f>
        <v>0</v>
      </c>
      <c r="D130" s="4" cm="1">
        <f t="array" ref="D130">SUM((MMULT(ISNUMBER(SEARCH(TRANSPOSE(category!$B$2:$B$25), A130))*1, ROW(category!$B$2:$B$25)^0)&gt;0)*1)</f>
        <v>1</v>
      </c>
      <c r="E130" s="4" cm="1">
        <f t="array" ref="E130">SUM((MMULT(ISNUMBER(SEARCH(TRANSPOSE(category!$C$2:$C$4), A130))*1, ROW(category!$C$2:$C$4)^0)&gt;0)*1)</f>
        <v>0</v>
      </c>
      <c r="F130" s="4" cm="1">
        <f t="array" ref="F130">SUM((MMULT(ISNUMBER(SEARCH(TRANSPOSE(category!$D$2:$D$10), A130))*1, ROW(category!$D$2:$D$10)^0)&gt;0)*1)</f>
        <v>0</v>
      </c>
      <c r="G130" s="4" cm="1">
        <f t="array" ref="G130">SUM((MMULT(ISNUMBER(SEARCH(TRANSPOSE(category!$E$2:$E$8), A130))*1, ROW(category!$E$2:$E$8)^0)&gt;0)*1)</f>
        <v>0</v>
      </c>
      <c r="H130" s="4" cm="1">
        <f t="array" ref="H130">SUM((MMULT(ISNUMBER(SEARCH(TRANSPOSE(category!$F$2:$F$9), A130))*1, ROW(category!$F$2:$F$9)^0)&gt;0)*1)</f>
        <v>0</v>
      </c>
    </row>
    <row r="131" spans="1:8" x14ac:dyDescent="0.45">
      <c r="A131" t="s">
        <v>286</v>
      </c>
      <c r="B131" s="6">
        <f t="shared" ref="B131:B194" si="2">LEN(A131)-LEN(SUBSTITUTE(A131," ",""))+1</f>
        <v>7</v>
      </c>
      <c r="C131" s="4" cm="1">
        <f t="array" ref="C131">SUM((MMULT(ISNUMBER(SEARCH(TRANSPOSE(category!$A$2:$A$11), A131))*1, ROW(category!$A$2:$A$11)^0)&gt;0)*1)</f>
        <v>1</v>
      </c>
      <c r="D131" s="4" cm="1">
        <f t="array" ref="D131">SUM((MMULT(ISNUMBER(SEARCH(TRANSPOSE(category!$B$2:$B$25), A131))*1, ROW(category!$B$2:$B$25)^0)&gt;0)*1)</f>
        <v>1</v>
      </c>
      <c r="E131" s="4" cm="1">
        <f t="array" ref="E131">SUM((MMULT(ISNUMBER(SEARCH(TRANSPOSE(category!$C$2:$C$4), A131))*1, ROW(category!$C$2:$C$4)^0)&gt;0)*1)</f>
        <v>0</v>
      </c>
      <c r="F131" s="4" cm="1">
        <f t="array" ref="F131">SUM((MMULT(ISNUMBER(SEARCH(TRANSPOSE(category!$D$2:$D$10), A131))*1, ROW(category!$D$2:$D$10)^0)&gt;0)*1)</f>
        <v>1</v>
      </c>
      <c r="G131" s="4" cm="1">
        <f t="array" ref="G131">SUM((MMULT(ISNUMBER(SEARCH(TRANSPOSE(category!$E$2:$E$8), A131))*1, ROW(category!$E$2:$E$8)^0)&gt;0)*1)</f>
        <v>0</v>
      </c>
      <c r="H131" s="4" cm="1">
        <f t="array" ref="H131">SUM((MMULT(ISNUMBER(SEARCH(TRANSPOSE(category!$F$2:$F$9), A131))*1, ROW(category!$F$2:$F$9)^0)&gt;0)*1)</f>
        <v>0</v>
      </c>
    </row>
    <row r="132" spans="1:8" x14ac:dyDescent="0.45">
      <c r="A132" t="s">
        <v>288</v>
      </c>
      <c r="B132" s="6">
        <f t="shared" si="2"/>
        <v>14</v>
      </c>
      <c r="C132" s="4" cm="1">
        <f t="array" ref="C132">SUM((MMULT(ISNUMBER(SEARCH(TRANSPOSE(category!$A$2:$A$11), A132))*1, ROW(category!$A$2:$A$11)^0)&gt;0)*1)</f>
        <v>0</v>
      </c>
      <c r="D132" s="4" cm="1">
        <f t="array" ref="D132">SUM((MMULT(ISNUMBER(SEARCH(TRANSPOSE(category!$B$2:$B$25), A132))*1, ROW(category!$B$2:$B$25)^0)&gt;0)*1)</f>
        <v>0</v>
      </c>
      <c r="E132" s="4" cm="1">
        <f t="array" ref="E132">SUM((MMULT(ISNUMBER(SEARCH(TRANSPOSE(category!$C$2:$C$4), A132))*1, ROW(category!$C$2:$C$4)^0)&gt;0)*1)</f>
        <v>0</v>
      </c>
      <c r="F132" s="4" cm="1">
        <f t="array" ref="F132">SUM((MMULT(ISNUMBER(SEARCH(TRANSPOSE(category!$D$2:$D$10), A132))*1, ROW(category!$D$2:$D$10)^0)&gt;0)*1)</f>
        <v>0</v>
      </c>
      <c r="G132" s="4" cm="1">
        <f t="array" ref="G132">SUM((MMULT(ISNUMBER(SEARCH(TRANSPOSE(category!$E$2:$E$8), A132))*1, ROW(category!$E$2:$E$8)^0)&gt;0)*1)</f>
        <v>0</v>
      </c>
      <c r="H132" s="4" cm="1">
        <f t="array" ref="H132">SUM((MMULT(ISNUMBER(SEARCH(TRANSPOSE(category!$F$2:$F$9), A132))*1, ROW(category!$F$2:$F$9)^0)&gt;0)*1)</f>
        <v>0</v>
      </c>
    </row>
    <row r="133" spans="1:8" x14ac:dyDescent="0.45">
      <c r="A133" t="s">
        <v>291</v>
      </c>
      <c r="B133" s="6">
        <f t="shared" si="2"/>
        <v>53</v>
      </c>
      <c r="C133" s="4" cm="1">
        <f t="array" ref="C133">SUM((MMULT(ISNUMBER(SEARCH(TRANSPOSE(category!$A$2:$A$11), A133))*1, ROW(category!$A$2:$A$11)^0)&gt;0)*1)</f>
        <v>0</v>
      </c>
      <c r="D133" s="4" cm="1">
        <f t="array" ref="D133">SUM((MMULT(ISNUMBER(SEARCH(TRANSPOSE(category!$B$2:$B$25), A133))*1, ROW(category!$B$2:$B$25)^0)&gt;0)*1)</f>
        <v>1</v>
      </c>
      <c r="E133" s="4" cm="1">
        <f t="array" ref="E133">SUM((MMULT(ISNUMBER(SEARCH(TRANSPOSE(category!$C$2:$C$4), A133))*1, ROW(category!$C$2:$C$4)^0)&gt;0)*1)</f>
        <v>0</v>
      </c>
      <c r="F133" s="4" cm="1">
        <f t="array" ref="F133">SUM((MMULT(ISNUMBER(SEARCH(TRANSPOSE(category!$D$2:$D$10), A133))*1, ROW(category!$D$2:$D$10)^0)&gt;0)*1)</f>
        <v>1</v>
      </c>
      <c r="G133" s="4" cm="1">
        <f t="array" ref="G133">SUM((MMULT(ISNUMBER(SEARCH(TRANSPOSE(category!$E$2:$E$8), A133))*1, ROW(category!$E$2:$E$8)^0)&gt;0)*1)</f>
        <v>0</v>
      </c>
      <c r="H133" s="4" cm="1">
        <f t="array" ref="H133">SUM((MMULT(ISNUMBER(SEARCH(TRANSPOSE(category!$F$2:$F$9), A133))*1, ROW(category!$F$2:$F$9)^0)&gt;0)*1)</f>
        <v>0</v>
      </c>
    </row>
    <row r="134" spans="1:8" x14ac:dyDescent="0.45">
      <c r="A134" t="s">
        <v>294</v>
      </c>
      <c r="B134" s="6">
        <f t="shared" si="2"/>
        <v>67</v>
      </c>
      <c r="C134" s="4" cm="1">
        <f t="array" ref="C134">SUM((MMULT(ISNUMBER(SEARCH(TRANSPOSE(category!$A$2:$A$11), A134))*1, ROW(category!$A$2:$A$11)^0)&gt;0)*1)</f>
        <v>1</v>
      </c>
      <c r="D134" s="4" cm="1">
        <f t="array" ref="D134">SUM((MMULT(ISNUMBER(SEARCH(TRANSPOSE(category!$B$2:$B$25), A134))*1, ROW(category!$B$2:$B$25)^0)&gt;0)*1)</f>
        <v>1</v>
      </c>
      <c r="E134" s="4" cm="1">
        <f t="array" ref="E134">SUM((MMULT(ISNUMBER(SEARCH(TRANSPOSE(category!$C$2:$C$4), A134))*1, ROW(category!$C$2:$C$4)^0)&gt;0)*1)</f>
        <v>0</v>
      </c>
      <c r="F134" s="4" cm="1">
        <f t="array" ref="F134">SUM((MMULT(ISNUMBER(SEARCH(TRANSPOSE(category!$D$2:$D$10), A134))*1, ROW(category!$D$2:$D$10)^0)&gt;0)*1)</f>
        <v>1</v>
      </c>
      <c r="G134" s="4" cm="1">
        <f t="array" ref="G134">SUM((MMULT(ISNUMBER(SEARCH(TRANSPOSE(category!$E$2:$E$8), A134))*1, ROW(category!$E$2:$E$8)^0)&gt;0)*1)</f>
        <v>0</v>
      </c>
      <c r="H134" s="4" cm="1">
        <f t="array" ref="H134">SUM((MMULT(ISNUMBER(SEARCH(TRANSPOSE(category!$F$2:$F$9), A134))*1, ROW(category!$F$2:$F$9)^0)&gt;0)*1)</f>
        <v>0</v>
      </c>
    </row>
    <row r="135" spans="1:8" x14ac:dyDescent="0.45">
      <c r="A135" t="s">
        <v>296</v>
      </c>
      <c r="B135" s="6">
        <f t="shared" si="2"/>
        <v>41</v>
      </c>
      <c r="C135" s="4" cm="1">
        <f t="array" ref="C135">SUM((MMULT(ISNUMBER(SEARCH(TRANSPOSE(category!$A$2:$A$11), A135))*1, ROW(category!$A$2:$A$11)^0)&gt;0)*1)</f>
        <v>1</v>
      </c>
      <c r="D135" s="4" cm="1">
        <f t="array" ref="D135">SUM((MMULT(ISNUMBER(SEARCH(TRANSPOSE(category!$B$2:$B$25), A135))*1, ROW(category!$B$2:$B$25)^0)&gt;0)*1)</f>
        <v>1</v>
      </c>
      <c r="E135" s="4" cm="1">
        <f t="array" ref="E135">SUM((MMULT(ISNUMBER(SEARCH(TRANSPOSE(category!$C$2:$C$4), A135))*1, ROW(category!$C$2:$C$4)^0)&gt;0)*1)</f>
        <v>0</v>
      </c>
      <c r="F135" s="4" cm="1">
        <f t="array" ref="F135">SUM((MMULT(ISNUMBER(SEARCH(TRANSPOSE(category!$D$2:$D$10), A135))*1, ROW(category!$D$2:$D$10)^0)&gt;0)*1)</f>
        <v>1</v>
      </c>
      <c r="G135" s="4" cm="1">
        <f t="array" ref="G135">SUM((MMULT(ISNUMBER(SEARCH(TRANSPOSE(category!$E$2:$E$8), A135))*1, ROW(category!$E$2:$E$8)^0)&gt;0)*1)</f>
        <v>0</v>
      </c>
      <c r="H135" s="4" cm="1">
        <f t="array" ref="H135">SUM((MMULT(ISNUMBER(SEARCH(TRANSPOSE(category!$F$2:$F$9), A135))*1, ROW(category!$F$2:$F$9)^0)&gt;0)*1)</f>
        <v>0</v>
      </c>
    </row>
    <row r="136" spans="1:8" x14ac:dyDescent="0.45">
      <c r="A136" t="s">
        <v>298</v>
      </c>
      <c r="B136" s="6">
        <f t="shared" si="2"/>
        <v>67</v>
      </c>
      <c r="C136" s="4" cm="1">
        <f t="array" ref="C136">SUM((MMULT(ISNUMBER(SEARCH(TRANSPOSE(category!$A$2:$A$11), A136))*1, ROW(category!$A$2:$A$11)^0)&gt;0)*1)</f>
        <v>0</v>
      </c>
      <c r="D136" s="4" cm="1">
        <f t="array" ref="D136">SUM((MMULT(ISNUMBER(SEARCH(TRANSPOSE(category!$B$2:$B$25), A136))*1, ROW(category!$B$2:$B$25)^0)&gt;0)*1)</f>
        <v>1</v>
      </c>
      <c r="E136" s="4" cm="1">
        <f t="array" ref="E136">SUM((MMULT(ISNUMBER(SEARCH(TRANSPOSE(category!$C$2:$C$4), A136))*1, ROW(category!$C$2:$C$4)^0)&gt;0)*1)</f>
        <v>0</v>
      </c>
      <c r="F136" s="4" cm="1">
        <f t="array" ref="F136">SUM((MMULT(ISNUMBER(SEARCH(TRANSPOSE(category!$D$2:$D$10), A136))*1, ROW(category!$D$2:$D$10)^0)&gt;0)*1)</f>
        <v>1</v>
      </c>
      <c r="G136" s="4" cm="1">
        <f t="array" ref="G136">SUM((MMULT(ISNUMBER(SEARCH(TRANSPOSE(category!$E$2:$E$8), A136))*1, ROW(category!$E$2:$E$8)^0)&gt;0)*1)</f>
        <v>0</v>
      </c>
      <c r="H136" s="4" cm="1">
        <f t="array" ref="H136">SUM((MMULT(ISNUMBER(SEARCH(TRANSPOSE(category!$F$2:$F$9), A136))*1, ROW(category!$F$2:$F$9)^0)&gt;0)*1)</f>
        <v>0</v>
      </c>
    </row>
    <row r="137" spans="1:8" x14ac:dyDescent="0.45">
      <c r="A137" t="s">
        <v>300</v>
      </c>
      <c r="B137" s="6">
        <f t="shared" si="2"/>
        <v>24</v>
      </c>
      <c r="C137" s="4" cm="1">
        <f t="array" ref="C137">SUM((MMULT(ISNUMBER(SEARCH(TRANSPOSE(category!$A$2:$A$11), A137))*1, ROW(category!$A$2:$A$11)^0)&gt;0)*1)</f>
        <v>0</v>
      </c>
      <c r="D137" s="4" cm="1">
        <f t="array" ref="D137">SUM((MMULT(ISNUMBER(SEARCH(TRANSPOSE(category!$B$2:$B$25), A137))*1, ROW(category!$B$2:$B$25)^0)&gt;0)*1)</f>
        <v>1</v>
      </c>
      <c r="E137" s="4" cm="1">
        <f t="array" ref="E137">SUM((MMULT(ISNUMBER(SEARCH(TRANSPOSE(category!$C$2:$C$4), A137))*1, ROW(category!$C$2:$C$4)^0)&gt;0)*1)</f>
        <v>0</v>
      </c>
      <c r="F137" s="4" cm="1">
        <f t="array" ref="F137">SUM((MMULT(ISNUMBER(SEARCH(TRANSPOSE(category!$D$2:$D$10), A137))*1, ROW(category!$D$2:$D$10)^0)&gt;0)*1)</f>
        <v>1</v>
      </c>
      <c r="G137" s="4" cm="1">
        <f t="array" ref="G137">SUM((MMULT(ISNUMBER(SEARCH(TRANSPOSE(category!$E$2:$E$8), A137))*1, ROW(category!$E$2:$E$8)^0)&gt;0)*1)</f>
        <v>0</v>
      </c>
      <c r="H137" s="4" cm="1">
        <f t="array" ref="H137">SUM((MMULT(ISNUMBER(SEARCH(TRANSPOSE(category!$F$2:$F$9), A137))*1, ROW(category!$F$2:$F$9)^0)&gt;0)*1)</f>
        <v>0</v>
      </c>
    </row>
    <row r="138" spans="1:8" x14ac:dyDescent="0.45">
      <c r="A138" t="s">
        <v>302</v>
      </c>
      <c r="B138" s="6">
        <f t="shared" si="2"/>
        <v>18</v>
      </c>
      <c r="C138" s="4" cm="1">
        <f t="array" ref="C138">SUM((MMULT(ISNUMBER(SEARCH(TRANSPOSE(category!$A$2:$A$11), A138))*1, ROW(category!$A$2:$A$11)^0)&gt;0)*1)</f>
        <v>0</v>
      </c>
      <c r="D138" s="4" cm="1">
        <f t="array" ref="D138">SUM((MMULT(ISNUMBER(SEARCH(TRANSPOSE(category!$B$2:$B$25), A138))*1, ROW(category!$B$2:$B$25)^0)&gt;0)*1)</f>
        <v>1</v>
      </c>
      <c r="E138" s="4" cm="1">
        <f t="array" ref="E138">SUM((MMULT(ISNUMBER(SEARCH(TRANSPOSE(category!$C$2:$C$4), A138))*1, ROW(category!$C$2:$C$4)^0)&gt;0)*1)</f>
        <v>0</v>
      </c>
      <c r="F138" s="4" cm="1">
        <f t="array" ref="F138">SUM((MMULT(ISNUMBER(SEARCH(TRANSPOSE(category!$D$2:$D$10), A138))*1, ROW(category!$D$2:$D$10)^0)&gt;0)*1)</f>
        <v>1</v>
      </c>
      <c r="G138" s="4" cm="1">
        <f t="array" ref="G138">SUM((MMULT(ISNUMBER(SEARCH(TRANSPOSE(category!$E$2:$E$8), A138))*1, ROW(category!$E$2:$E$8)^0)&gt;0)*1)</f>
        <v>0</v>
      </c>
      <c r="H138" s="4" cm="1">
        <f t="array" ref="H138">SUM((MMULT(ISNUMBER(SEARCH(TRANSPOSE(category!$F$2:$F$9), A138))*1, ROW(category!$F$2:$F$9)^0)&gt;0)*1)</f>
        <v>0</v>
      </c>
    </row>
    <row r="139" spans="1:8" x14ac:dyDescent="0.45">
      <c r="A139" t="s">
        <v>305</v>
      </c>
      <c r="B139" s="6">
        <f t="shared" si="2"/>
        <v>86</v>
      </c>
      <c r="C139" s="4" cm="1">
        <f t="array" ref="C139">SUM((MMULT(ISNUMBER(SEARCH(TRANSPOSE(category!$A$2:$A$11), A139))*1, ROW(category!$A$2:$A$11)^0)&gt;0)*1)</f>
        <v>1</v>
      </c>
      <c r="D139" s="4" cm="1">
        <f t="array" ref="D139">SUM((MMULT(ISNUMBER(SEARCH(TRANSPOSE(category!$B$2:$B$25), A139))*1, ROW(category!$B$2:$B$25)^0)&gt;0)*1)</f>
        <v>1</v>
      </c>
      <c r="E139" s="4" cm="1">
        <f t="array" ref="E139">SUM((MMULT(ISNUMBER(SEARCH(TRANSPOSE(category!$C$2:$C$4), A139))*1, ROW(category!$C$2:$C$4)^0)&gt;0)*1)</f>
        <v>1</v>
      </c>
      <c r="F139" s="4" cm="1">
        <f t="array" ref="F139">SUM((MMULT(ISNUMBER(SEARCH(TRANSPOSE(category!$D$2:$D$10), A139))*1, ROW(category!$D$2:$D$10)^0)&gt;0)*1)</f>
        <v>1</v>
      </c>
      <c r="G139" s="4" cm="1">
        <f t="array" ref="G139">SUM((MMULT(ISNUMBER(SEARCH(TRANSPOSE(category!$E$2:$E$8), A139))*1, ROW(category!$E$2:$E$8)^0)&gt;0)*1)</f>
        <v>1</v>
      </c>
      <c r="H139" s="4" cm="1">
        <f t="array" ref="H139">SUM((MMULT(ISNUMBER(SEARCH(TRANSPOSE(category!$F$2:$F$9), A139))*1, ROW(category!$F$2:$F$9)^0)&gt;0)*1)</f>
        <v>0</v>
      </c>
    </row>
    <row r="140" spans="1:8" x14ac:dyDescent="0.45">
      <c r="A140" t="s">
        <v>307</v>
      </c>
      <c r="B140" s="6">
        <f t="shared" si="2"/>
        <v>93</v>
      </c>
      <c r="C140" s="4" cm="1">
        <f t="array" ref="C140">SUM((MMULT(ISNUMBER(SEARCH(TRANSPOSE(category!$A$2:$A$11), A140))*1, ROW(category!$A$2:$A$11)^0)&gt;0)*1)</f>
        <v>1</v>
      </c>
      <c r="D140" s="4" cm="1">
        <f t="array" ref="D140">SUM((MMULT(ISNUMBER(SEARCH(TRANSPOSE(category!$B$2:$B$25), A140))*1, ROW(category!$B$2:$B$25)^0)&gt;0)*1)</f>
        <v>1</v>
      </c>
      <c r="E140" s="4" cm="1">
        <f t="array" ref="E140">SUM((MMULT(ISNUMBER(SEARCH(TRANSPOSE(category!$C$2:$C$4), A140))*1, ROW(category!$C$2:$C$4)^0)&gt;0)*1)</f>
        <v>0</v>
      </c>
      <c r="F140" s="4" cm="1">
        <f t="array" ref="F140">SUM((MMULT(ISNUMBER(SEARCH(TRANSPOSE(category!$D$2:$D$10), A140))*1, ROW(category!$D$2:$D$10)^0)&gt;0)*1)</f>
        <v>1</v>
      </c>
      <c r="G140" s="4" cm="1">
        <f t="array" ref="G140">SUM((MMULT(ISNUMBER(SEARCH(TRANSPOSE(category!$E$2:$E$8), A140))*1, ROW(category!$E$2:$E$8)^0)&gt;0)*1)</f>
        <v>0</v>
      </c>
      <c r="H140" s="4" cm="1">
        <f t="array" ref="H140">SUM((MMULT(ISNUMBER(SEARCH(TRANSPOSE(category!$F$2:$F$9), A140))*1, ROW(category!$F$2:$F$9)^0)&gt;0)*1)</f>
        <v>1</v>
      </c>
    </row>
    <row r="141" spans="1:8" x14ac:dyDescent="0.45">
      <c r="A141" t="s">
        <v>309</v>
      </c>
      <c r="B141" s="6">
        <f t="shared" si="2"/>
        <v>139</v>
      </c>
      <c r="C141" s="4" cm="1">
        <f t="array" ref="C141">SUM((MMULT(ISNUMBER(SEARCH(TRANSPOSE(category!$A$2:$A$11), A141))*1, ROW(category!$A$2:$A$11)^0)&gt;0)*1)</f>
        <v>1</v>
      </c>
      <c r="D141" s="4" cm="1">
        <f t="array" ref="D141">SUM((MMULT(ISNUMBER(SEARCH(TRANSPOSE(category!$B$2:$B$25), A141))*1, ROW(category!$B$2:$B$25)^0)&gt;0)*1)</f>
        <v>1</v>
      </c>
      <c r="E141" s="4" cm="1">
        <f t="array" ref="E141">SUM((MMULT(ISNUMBER(SEARCH(TRANSPOSE(category!$C$2:$C$4), A141))*1, ROW(category!$C$2:$C$4)^0)&gt;0)*1)</f>
        <v>0</v>
      </c>
      <c r="F141" s="4" cm="1">
        <f t="array" ref="F141">SUM((MMULT(ISNUMBER(SEARCH(TRANSPOSE(category!$D$2:$D$10), A141))*1, ROW(category!$D$2:$D$10)^0)&gt;0)*1)</f>
        <v>1</v>
      </c>
      <c r="G141" s="4" cm="1">
        <f t="array" ref="G141">SUM((MMULT(ISNUMBER(SEARCH(TRANSPOSE(category!$E$2:$E$8), A141))*1, ROW(category!$E$2:$E$8)^0)&gt;0)*1)</f>
        <v>0</v>
      </c>
      <c r="H141" s="4" cm="1">
        <f t="array" ref="H141">SUM((MMULT(ISNUMBER(SEARCH(TRANSPOSE(category!$F$2:$F$9), A141))*1, ROW(category!$F$2:$F$9)^0)&gt;0)*1)</f>
        <v>1</v>
      </c>
    </row>
    <row r="142" spans="1:8" x14ac:dyDescent="0.45">
      <c r="A142" t="s">
        <v>311</v>
      </c>
      <c r="B142" s="6">
        <f t="shared" si="2"/>
        <v>36</v>
      </c>
      <c r="C142" s="4" cm="1">
        <f t="array" ref="C142">SUM((MMULT(ISNUMBER(SEARCH(TRANSPOSE(category!$A$2:$A$11), A142))*1, ROW(category!$A$2:$A$11)^0)&gt;0)*1)</f>
        <v>0</v>
      </c>
      <c r="D142" s="4" cm="1">
        <f t="array" ref="D142">SUM((MMULT(ISNUMBER(SEARCH(TRANSPOSE(category!$B$2:$B$25), A142))*1, ROW(category!$B$2:$B$25)^0)&gt;0)*1)</f>
        <v>1</v>
      </c>
      <c r="E142" s="4" cm="1">
        <f t="array" ref="E142">SUM((MMULT(ISNUMBER(SEARCH(TRANSPOSE(category!$C$2:$C$4), A142))*1, ROW(category!$C$2:$C$4)^0)&gt;0)*1)</f>
        <v>0</v>
      </c>
      <c r="F142" s="4" cm="1">
        <f t="array" ref="F142">SUM((MMULT(ISNUMBER(SEARCH(TRANSPOSE(category!$D$2:$D$10), A142))*1, ROW(category!$D$2:$D$10)^0)&gt;0)*1)</f>
        <v>0</v>
      </c>
      <c r="G142" s="4" cm="1">
        <f t="array" ref="G142">SUM((MMULT(ISNUMBER(SEARCH(TRANSPOSE(category!$E$2:$E$8), A142))*1, ROW(category!$E$2:$E$8)^0)&gt;0)*1)</f>
        <v>0</v>
      </c>
      <c r="H142" s="4" cm="1">
        <f t="array" ref="H142">SUM((MMULT(ISNUMBER(SEARCH(TRANSPOSE(category!$F$2:$F$9), A142))*1, ROW(category!$F$2:$F$9)^0)&gt;0)*1)</f>
        <v>0</v>
      </c>
    </row>
    <row r="143" spans="1:8" x14ac:dyDescent="0.45">
      <c r="A143" t="s">
        <v>313</v>
      </c>
      <c r="B143" s="6">
        <f t="shared" si="2"/>
        <v>38</v>
      </c>
      <c r="C143" s="4" cm="1">
        <f t="array" ref="C143">SUM((MMULT(ISNUMBER(SEARCH(TRANSPOSE(category!$A$2:$A$11), A143))*1, ROW(category!$A$2:$A$11)^0)&gt;0)*1)</f>
        <v>0</v>
      </c>
      <c r="D143" s="4" cm="1">
        <f t="array" ref="D143">SUM((MMULT(ISNUMBER(SEARCH(TRANSPOSE(category!$B$2:$B$25), A143))*1, ROW(category!$B$2:$B$25)^0)&gt;0)*1)</f>
        <v>1</v>
      </c>
      <c r="E143" s="4" cm="1">
        <f t="array" ref="E143">SUM((MMULT(ISNUMBER(SEARCH(TRANSPOSE(category!$C$2:$C$4), A143))*1, ROW(category!$C$2:$C$4)^0)&gt;0)*1)</f>
        <v>0</v>
      </c>
      <c r="F143" s="4" cm="1">
        <f t="array" ref="F143">SUM((MMULT(ISNUMBER(SEARCH(TRANSPOSE(category!$D$2:$D$10), A143))*1, ROW(category!$D$2:$D$10)^0)&gt;0)*1)</f>
        <v>1</v>
      </c>
      <c r="G143" s="4" cm="1">
        <f t="array" ref="G143">SUM((MMULT(ISNUMBER(SEARCH(TRANSPOSE(category!$E$2:$E$8), A143))*1, ROW(category!$E$2:$E$8)^0)&gt;0)*1)</f>
        <v>0</v>
      </c>
      <c r="H143" s="4" cm="1">
        <f t="array" ref="H143">SUM((MMULT(ISNUMBER(SEARCH(TRANSPOSE(category!$F$2:$F$9), A143))*1, ROW(category!$F$2:$F$9)^0)&gt;0)*1)</f>
        <v>0</v>
      </c>
    </row>
    <row r="144" spans="1:8" x14ac:dyDescent="0.45">
      <c r="A144" t="s">
        <v>315</v>
      </c>
      <c r="B144" s="6">
        <f t="shared" si="2"/>
        <v>52</v>
      </c>
      <c r="C144" s="4" cm="1">
        <f t="array" ref="C144">SUM((MMULT(ISNUMBER(SEARCH(TRANSPOSE(category!$A$2:$A$11), A144))*1, ROW(category!$A$2:$A$11)^0)&gt;0)*1)</f>
        <v>0</v>
      </c>
      <c r="D144" s="4" cm="1">
        <f t="array" ref="D144">SUM((MMULT(ISNUMBER(SEARCH(TRANSPOSE(category!$B$2:$B$25), A144))*1, ROW(category!$B$2:$B$25)^0)&gt;0)*1)</f>
        <v>1</v>
      </c>
      <c r="E144" s="4" cm="1">
        <f t="array" ref="E144">SUM((MMULT(ISNUMBER(SEARCH(TRANSPOSE(category!$C$2:$C$4), A144))*1, ROW(category!$C$2:$C$4)^0)&gt;0)*1)</f>
        <v>0</v>
      </c>
      <c r="F144" s="4" cm="1">
        <f t="array" ref="F144">SUM((MMULT(ISNUMBER(SEARCH(TRANSPOSE(category!$D$2:$D$10), A144))*1, ROW(category!$D$2:$D$10)^0)&gt;0)*1)</f>
        <v>0</v>
      </c>
      <c r="G144" s="4" cm="1">
        <f t="array" ref="G144">SUM((MMULT(ISNUMBER(SEARCH(TRANSPOSE(category!$E$2:$E$8), A144))*1, ROW(category!$E$2:$E$8)^0)&gt;0)*1)</f>
        <v>0</v>
      </c>
      <c r="H144" s="4" cm="1">
        <f t="array" ref="H144">SUM((MMULT(ISNUMBER(SEARCH(TRANSPOSE(category!$F$2:$F$9), A144))*1, ROW(category!$F$2:$F$9)^0)&gt;0)*1)</f>
        <v>0</v>
      </c>
    </row>
    <row r="145" spans="1:8" x14ac:dyDescent="0.45">
      <c r="A145" t="s">
        <v>317</v>
      </c>
      <c r="B145" s="6">
        <f t="shared" si="2"/>
        <v>46</v>
      </c>
      <c r="C145" s="4" cm="1">
        <f t="array" ref="C145">SUM((MMULT(ISNUMBER(SEARCH(TRANSPOSE(category!$A$2:$A$11), A145))*1, ROW(category!$A$2:$A$11)^0)&gt;0)*1)</f>
        <v>0</v>
      </c>
      <c r="D145" s="4" cm="1">
        <f t="array" ref="D145">SUM((MMULT(ISNUMBER(SEARCH(TRANSPOSE(category!$B$2:$B$25), A145))*1, ROW(category!$B$2:$B$25)^0)&gt;0)*1)</f>
        <v>1</v>
      </c>
      <c r="E145" s="4" cm="1">
        <f t="array" ref="E145">SUM((MMULT(ISNUMBER(SEARCH(TRANSPOSE(category!$C$2:$C$4), A145))*1, ROW(category!$C$2:$C$4)^0)&gt;0)*1)</f>
        <v>0</v>
      </c>
      <c r="F145" s="4" cm="1">
        <f t="array" ref="F145">SUM((MMULT(ISNUMBER(SEARCH(TRANSPOSE(category!$D$2:$D$10), A145))*1, ROW(category!$D$2:$D$10)^0)&gt;0)*1)</f>
        <v>0</v>
      </c>
      <c r="G145" s="4" cm="1">
        <f t="array" ref="G145">SUM((MMULT(ISNUMBER(SEARCH(TRANSPOSE(category!$E$2:$E$8), A145))*1, ROW(category!$E$2:$E$8)^0)&gt;0)*1)</f>
        <v>0</v>
      </c>
      <c r="H145" s="4" cm="1">
        <f t="array" ref="H145">SUM((MMULT(ISNUMBER(SEARCH(TRANSPOSE(category!$F$2:$F$9), A145))*1, ROW(category!$F$2:$F$9)^0)&gt;0)*1)</f>
        <v>0</v>
      </c>
    </row>
    <row r="146" spans="1:8" x14ac:dyDescent="0.45">
      <c r="A146" t="s">
        <v>319</v>
      </c>
      <c r="B146" s="6">
        <f t="shared" si="2"/>
        <v>53</v>
      </c>
      <c r="C146" s="4" cm="1">
        <f t="array" ref="C146">SUM((MMULT(ISNUMBER(SEARCH(TRANSPOSE(category!$A$2:$A$11), A146))*1, ROW(category!$A$2:$A$11)^0)&gt;0)*1)</f>
        <v>0</v>
      </c>
      <c r="D146" s="4" cm="1">
        <f t="array" ref="D146">SUM((MMULT(ISNUMBER(SEARCH(TRANSPOSE(category!$B$2:$B$25), A146))*1, ROW(category!$B$2:$B$25)^0)&gt;0)*1)</f>
        <v>1</v>
      </c>
      <c r="E146" s="4" cm="1">
        <f t="array" ref="E146">SUM((MMULT(ISNUMBER(SEARCH(TRANSPOSE(category!$C$2:$C$4), A146))*1, ROW(category!$C$2:$C$4)^0)&gt;0)*1)</f>
        <v>0</v>
      </c>
      <c r="F146" s="4" cm="1">
        <f t="array" ref="F146">SUM((MMULT(ISNUMBER(SEARCH(TRANSPOSE(category!$D$2:$D$10), A146))*1, ROW(category!$D$2:$D$10)^0)&gt;0)*1)</f>
        <v>1</v>
      </c>
      <c r="G146" s="4" cm="1">
        <f t="array" ref="G146">SUM((MMULT(ISNUMBER(SEARCH(TRANSPOSE(category!$E$2:$E$8), A146))*1, ROW(category!$E$2:$E$8)^0)&gt;0)*1)</f>
        <v>0</v>
      </c>
      <c r="H146" s="4" cm="1">
        <f t="array" ref="H146">SUM((MMULT(ISNUMBER(SEARCH(TRANSPOSE(category!$F$2:$F$9), A146))*1, ROW(category!$F$2:$F$9)^0)&gt;0)*1)</f>
        <v>0</v>
      </c>
    </row>
    <row r="147" spans="1:8" x14ac:dyDescent="0.45">
      <c r="A147" t="s">
        <v>321</v>
      </c>
      <c r="B147" s="6">
        <f t="shared" si="2"/>
        <v>85</v>
      </c>
      <c r="C147" s="4" cm="1">
        <f t="array" ref="C147">SUM((MMULT(ISNUMBER(SEARCH(TRANSPOSE(category!$A$2:$A$11), A147))*1, ROW(category!$A$2:$A$11)^0)&gt;0)*1)</f>
        <v>1</v>
      </c>
      <c r="D147" s="4" cm="1">
        <f t="array" ref="D147">SUM((MMULT(ISNUMBER(SEARCH(TRANSPOSE(category!$B$2:$B$25), A147))*1, ROW(category!$B$2:$B$25)^0)&gt;0)*1)</f>
        <v>1</v>
      </c>
      <c r="E147" s="4" cm="1">
        <f t="array" ref="E147">SUM((MMULT(ISNUMBER(SEARCH(TRANSPOSE(category!$C$2:$C$4), A147))*1, ROW(category!$C$2:$C$4)^0)&gt;0)*1)</f>
        <v>1</v>
      </c>
      <c r="F147" s="4" cm="1">
        <f t="array" ref="F147">SUM((MMULT(ISNUMBER(SEARCH(TRANSPOSE(category!$D$2:$D$10), A147))*1, ROW(category!$D$2:$D$10)^0)&gt;0)*1)</f>
        <v>1</v>
      </c>
      <c r="G147" s="4" cm="1">
        <f t="array" ref="G147">SUM((MMULT(ISNUMBER(SEARCH(TRANSPOSE(category!$E$2:$E$8), A147))*1, ROW(category!$E$2:$E$8)^0)&gt;0)*1)</f>
        <v>0</v>
      </c>
      <c r="H147" s="4" cm="1">
        <f t="array" ref="H147">SUM((MMULT(ISNUMBER(SEARCH(TRANSPOSE(category!$F$2:$F$9), A147))*1, ROW(category!$F$2:$F$9)^0)&gt;0)*1)</f>
        <v>0</v>
      </c>
    </row>
    <row r="148" spans="1:8" x14ac:dyDescent="0.45">
      <c r="A148" t="s">
        <v>323</v>
      </c>
      <c r="B148" s="6">
        <f t="shared" si="2"/>
        <v>49</v>
      </c>
      <c r="C148" s="4" cm="1">
        <f t="array" ref="C148">SUM((MMULT(ISNUMBER(SEARCH(TRANSPOSE(category!$A$2:$A$11), A148))*1, ROW(category!$A$2:$A$11)^0)&gt;0)*1)</f>
        <v>0</v>
      </c>
      <c r="D148" s="4" cm="1">
        <f t="array" ref="D148">SUM((MMULT(ISNUMBER(SEARCH(TRANSPOSE(category!$B$2:$B$25), A148))*1, ROW(category!$B$2:$B$25)^0)&gt;0)*1)</f>
        <v>1</v>
      </c>
      <c r="E148" s="4" cm="1">
        <f t="array" ref="E148">SUM((MMULT(ISNUMBER(SEARCH(TRANSPOSE(category!$C$2:$C$4), A148))*1, ROW(category!$C$2:$C$4)^0)&gt;0)*1)</f>
        <v>0</v>
      </c>
      <c r="F148" s="4" cm="1">
        <f t="array" ref="F148">SUM((MMULT(ISNUMBER(SEARCH(TRANSPOSE(category!$D$2:$D$10), A148))*1, ROW(category!$D$2:$D$10)^0)&gt;0)*1)</f>
        <v>0</v>
      </c>
      <c r="G148" s="4" cm="1">
        <f t="array" ref="G148">SUM((MMULT(ISNUMBER(SEARCH(TRANSPOSE(category!$E$2:$E$8), A148))*1, ROW(category!$E$2:$E$8)^0)&gt;0)*1)</f>
        <v>0</v>
      </c>
      <c r="H148" s="4" cm="1">
        <f t="array" ref="H148">SUM((MMULT(ISNUMBER(SEARCH(TRANSPOSE(category!$F$2:$F$9), A148))*1, ROW(category!$F$2:$F$9)^0)&gt;0)*1)</f>
        <v>0</v>
      </c>
    </row>
    <row r="149" spans="1:8" x14ac:dyDescent="0.45">
      <c r="A149" t="s">
        <v>325</v>
      </c>
      <c r="B149" s="6">
        <f t="shared" si="2"/>
        <v>36</v>
      </c>
      <c r="C149" s="4" cm="1">
        <f t="array" ref="C149">SUM((MMULT(ISNUMBER(SEARCH(TRANSPOSE(category!$A$2:$A$11), A149))*1, ROW(category!$A$2:$A$11)^0)&gt;0)*1)</f>
        <v>0</v>
      </c>
      <c r="D149" s="4" cm="1">
        <f t="array" ref="D149">SUM((MMULT(ISNUMBER(SEARCH(TRANSPOSE(category!$B$2:$B$25), A149))*1, ROW(category!$B$2:$B$25)^0)&gt;0)*1)</f>
        <v>1</v>
      </c>
      <c r="E149" s="4" cm="1">
        <f t="array" ref="E149">SUM((MMULT(ISNUMBER(SEARCH(TRANSPOSE(category!$C$2:$C$4), A149))*1, ROW(category!$C$2:$C$4)^0)&gt;0)*1)</f>
        <v>0</v>
      </c>
      <c r="F149" s="4" cm="1">
        <f t="array" ref="F149">SUM((MMULT(ISNUMBER(SEARCH(TRANSPOSE(category!$D$2:$D$10), A149))*1, ROW(category!$D$2:$D$10)^0)&gt;0)*1)</f>
        <v>0</v>
      </c>
      <c r="G149" s="4" cm="1">
        <f t="array" ref="G149">SUM((MMULT(ISNUMBER(SEARCH(TRANSPOSE(category!$E$2:$E$8), A149))*1, ROW(category!$E$2:$E$8)^0)&gt;0)*1)</f>
        <v>0</v>
      </c>
      <c r="H149" s="4" cm="1">
        <f t="array" ref="H149">SUM((MMULT(ISNUMBER(SEARCH(TRANSPOSE(category!$F$2:$F$9), A149))*1, ROW(category!$F$2:$F$9)^0)&gt;0)*1)</f>
        <v>0</v>
      </c>
    </row>
    <row r="150" spans="1:8" x14ac:dyDescent="0.45">
      <c r="A150" t="s">
        <v>327</v>
      </c>
      <c r="B150" s="6">
        <f t="shared" si="2"/>
        <v>22</v>
      </c>
      <c r="C150" s="4" cm="1">
        <f t="array" ref="C150">SUM((MMULT(ISNUMBER(SEARCH(TRANSPOSE(category!$A$2:$A$11), A150))*1, ROW(category!$A$2:$A$11)^0)&gt;0)*1)</f>
        <v>0</v>
      </c>
      <c r="D150" s="4" cm="1">
        <f t="array" ref="D150">SUM((MMULT(ISNUMBER(SEARCH(TRANSPOSE(category!$B$2:$B$25), A150))*1, ROW(category!$B$2:$B$25)^0)&gt;0)*1)</f>
        <v>1</v>
      </c>
      <c r="E150" s="4" cm="1">
        <f t="array" ref="E150">SUM((MMULT(ISNUMBER(SEARCH(TRANSPOSE(category!$C$2:$C$4), A150))*1, ROW(category!$C$2:$C$4)^0)&gt;0)*1)</f>
        <v>0</v>
      </c>
      <c r="F150" s="4" cm="1">
        <f t="array" ref="F150">SUM((MMULT(ISNUMBER(SEARCH(TRANSPOSE(category!$D$2:$D$10), A150))*1, ROW(category!$D$2:$D$10)^0)&gt;0)*1)</f>
        <v>1</v>
      </c>
      <c r="G150" s="4" cm="1">
        <f t="array" ref="G150">SUM((MMULT(ISNUMBER(SEARCH(TRANSPOSE(category!$E$2:$E$8), A150))*1, ROW(category!$E$2:$E$8)^0)&gt;0)*1)</f>
        <v>0</v>
      </c>
      <c r="H150" s="4" cm="1">
        <f t="array" ref="H150">SUM((MMULT(ISNUMBER(SEARCH(TRANSPOSE(category!$F$2:$F$9), A150))*1, ROW(category!$F$2:$F$9)^0)&gt;0)*1)</f>
        <v>0</v>
      </c>
    </row>
    <row r="151" spans="1:8" x14ac:dyDescent="0.45">
      <c r="A151" t="s">
        <v>329</v>
      </c>
      <c r="B151" s="6">
        <f t="shared" si="2"/>
        <v>97</v>
      </c>
      <c r="C151" s="4" cm="1">
        <f t="array" ref="C151">SUM((MMULT(ISNUMBER(SEARCH(TRANSPOSE(category!$A$2:$A$11), A151))*1, ROW(category!$A$2:$A$11)^0)&gt;0)*1)</f>
        <v>1</v>
      </c>
      <c r="D151" s="4" cm="1">
        <f t="array" ref="D151">SUM((MMULT(ISNUMBER(SEARCH(TRANSPOSE(category!$B$2:$B$25), A151))*1, ROW(category!$B$2:$B$25)^0)&gt;0)*1)</f>
        <v>1</v>
      </c>
      <c r="E151" s="4" cm="1">
        <f t="array" ref="E151">SUM((MMULT(ISNUMBER(SEARCH(TRANSPOSE(category!$C$2:$C$4), A151))*1, ROW(category!$C$2:$C$4)^0)&gt;0)*1)</f>
        <v>1</v>
      </c>
      <c r="F151" s="4" cm="1">
        <f t="array" ref="F151">SUM((MMULT(ISNUMBER(SEARCH(TRANSPOSE(category!$D$2:$D$10), A151))*1, ROW(category!$D$2:$D$10)^0)&gt;0)*1)</f>
        <v>1</v>
      </c>
      <c r="G151" s="4" cm="1">
        <f t="array" ref="G151">SUM((MMULT(ISNUMBER(SEARCH(TRANSPOSE(category!$E$2:$E$8), A151))*1, ROW(category!$E$2:$E$8)^0)&gt;0)*1)</f>
        <v>0</v>
      </c>
      <c r="H151" s="4" cm="1">
        <f t="array" ref="H151">SUM((MMULT(ISNUMBER(SEARCH(TRANSPOSE(category!$F$2:$F$9), A151))*1, ROW(category!$F$2:$F$9)^0)&gt;0)*1)</f>
        <v>0</v>
      </c>
    </row>
    <row r="152" spans="1:8" x14ac:dyDescent="0.45">
      <c r="A152" t="s">
        <v>331</v>
      </c>
      <c r="B152" s="6">
        <f t="shared" si="2"/>
        <v>16</v>
      </c>
      <c r="C152" s="4" cm="1">
        <f t="array" ref="C152">SUM((MMULT(ISNUMBER(SEARCH(TRANSPOSE(category!$A$2:$A$11), A152))*1, ROW(category!$A$2:$A$11)^0)&gt;0)*1)</f>
        <v>0</v>
      </c>
      <c r="D152" s="4" cm="1">
        <f t="array" ref="D152">SUM((MMULT(ISNUMBER(SEARCH(TRANSPOSE(category!$B$2:$B$25), A152))*1, ROW(category!$B$2:$B$25)^0)&gt;0)*1)</f>
        <v>0</v>
      </c>
      <c r="E152" s="4" cm="1">
        <f t="array" ref="E152">SUM((MMULT(ISNUMBER(SEARCH(TRANSPOSE(category!$C$2:$C$4), A152))*1, ROW(category!$C$2:$C$4)^0)&gt;0)*1)</f>
        <v>0</v>
      </c>
      <c r="F152" s="4" cm="1">
        <f t="array" ref="F152">SUM((MMULT(ISNUMBER(SEARCH(TRANSPOSE(category!$D$2:$D$10), A152))*1, ROW(category!$D$2:$D$10)^0)&gt;0)*1)</f>
        <v>0</v>
      </c>
      <c r="G152" s="4" cm="1">
        <f t="array" ref="G152">SUM((MMULT(ISNUMBER(SEARCH(TRANSPOSE(category!$E$2:$E$8), A152))*1, ROW(category!$E$2:$E$8)^0)&gt;0)*1)</f>
        <v>0</v>
      </c>
      <c r="H152" s="4" cm="1">
        <f t="array" ref="H152">SUM((MMULT(ISNUMBER(SEARCH(TRANSPOSE(category!$F$2:$F$9), A152))*1, ROW(category!$F$2:$F$9)^0)&gt;0)*1)</f>
        <v>0</v>
      </c>
    </row>
    <row r="153" spans="1:8" x14ac:dyDescent="0.45">
      <c r="A153" t="s">
        <v>333</v>
      </c>
      <c r="B153" s="6">
        <f t="shared" si="2"/>
        <v>97</v>
      </c>
      <c r="C153" s="4" cm="1">
        <f t="array" ref="C153">SUM((MMULT(ISNUMBER(SEARCH(TRANSPOSE(category!$A$2:$A$11), A153))*1, ROW(category!$A$2:$A$11)^0)&gt;0)*1)</f>
        <v>0</v>
      </c>
      <c r="D153" s="4" cm="1">
        <f t="array" ref="D153">SUM((MMULT(ISNUMBER(SEARCH(TRANSPOSE(category!$B$2:$B$25), A153))*1, ROW(category!$B$2:$B$25)^0)&gt;0)*1)</f>
        <v>1</v>
      </c>
      <c r="E153" s="4" cm="1">
        <f t="array" ref="E153">SUM((MMULT(ISNUMBER(SEARCH(TRANSPOSE(category!$C$2:$C$4), A153))*1, ROW(category!$C$2:$C$4)^0)&gt;0)*1)</f>
        <v>1</v>
      </c>
      <c r="F153" s="4" cm="1">
        <f t="array" ref="F153">SUM((MMULT(ISNUMBER(SEARCH(TRANSPOSE(category!$D$2:$D$10), A153))*1, ROW(category!$D$2:$D$10)^0)&gt;0)*1)</f>
        <v>1</v>
      </c>
      <c r="G153" s="4" cm="1">
        <f t="array" ref="G153">SUM((MMULT(ISNUMBER(SEARCH(TRANSPOSE(category!$E$2:$E$8), A153))*1, ROW(category!$E$2:$E$8)^0)&gt;0)*1)</f>
        <v>0</v>
      </c>
      <c r="H153" s="4" cm="1">
        <f t="array" ref="H153">SUM((MMULT(ISNUMBER(SEARCH(TRANSPOSE(category!$F$2:$F$9), A153))*1, ROW(category!$F$2:$F$9)^0)&gt;0)*1)</f>
        <v>0</v>
      </c>
    </row>
    <row r="154" spans="1:8" x14ac:dyDescent="0.45">
      <c r="A154" t="s">
        <v>335</v>
      </c>
      <c r="B154" s="6">
        <f t="shared" si="2"/>
        <v>49</v>
      </c>
      <c r="C154" s="4" cm="1">
        <f t="array" ref="C154">SUM((MMULT(ISNUMBER(SEARCH(TRANSPOSE(category!$A$2:$A$11), A154))*1, ROW(category!$A$2:$A$11)^0)&gt;0)*1)</f>
        <v>0</v>
      </c>
      <c r="D154" s="4" cm="1">
        <f t="array" ref="D154">SUM((MMULT(ISNUMBER(SEARCH(TRANSPOSE(category!$B$2:$B$25), A154))*1, ROW(category!$B$2:$B$25)^0)&gt;0)*1)</f>
        <v>1</v>
      </c>
      <c r="E154" s="4" cm="1">
        <f t="array" ref="E154">SUM((MMULT(ISNUMBER(SEARCH(TRANSPOSE(category!$C$2:$C$4), A154))*1, ROW(category!$C$2:$C$4)^0)&gt;0)*1)</f>
        <v>0</v>
      </c>
      <c r="F154" s="4" cm="1">
        <f t="array" ref="F154">SUM((MMULT(ISNUMBER(SEARCH(TRANSPOSE(category!$D$2:$D$10), A154))*1, ROW(category!$D$2:$D$10)^0)&gt;0)*1)</f>
        <v>1</v>
      </c>
      <c r="G154" s="4" cm="1">
        <f t="array" ref="G154">SUM((MMULT(ISNUMBER(SEARCH(TRANSPOSE(category!$E$2:$E$8), A154))*1, ROW(category!$E$2:$E$8)^0)&gt;0)*1)</f>
        <v>0</v>
      </c>
      <c r="H154" s="4" cm="1">
        <f t="array" ref="H154">SUM((MMULT(ISNUMBER(SEARCH(TRANSPOSE(category!$F$2:$F$9), A154))*1, ROW(category!$F$2:$F$9)^0)&gt;0)*1)</f>
        <v>1</v>
      </c>
    </row>
    <row r="155" spans="1:8" x14ac:dyDescent="0.45">
      <c r="A155" t="s">
        <v>337</v>
      </c>
      <c r="B155" s="6">
        <f t="shared" si="2"/>
        <v>81</v>
      </c>
      <c r="C155" s="4" cm="1">
        <f t="array" ref="C155">SUM((MMULT(ISNUMBER(SEARCH(TRANSPOSE(category!$A$2:$A$11), A155))*1, ROW(category!$A$2:$A$11)^0)&gt;0)*1)</f>
        <v>1</v>
      </c>
      <c r="D155" s="4" cm="1">
        <f t="array" ref="D155">SUM((MMULT(ISNUMBER(SEARCH(TRANSPOSE(category!$B$2:$B$25), A155))*1, ROW(category!$B$2:$B$25)^0)&gt;0)*1)</f>
        <v>1</v>
      </c>
      <c r="E155" s="4" cm="1">
        <f t="array" ref="E155">SUM((MMULT(ISNUMBER(SEARCH(TRANSPOSE(category!$C$2:$C$4), A155))*1, ROW(category!$C$2:$C$4)^0)&gt;0)*1)</f>
        <v>0</v>
      </c>
      <c r="F155" s="4" cm="1">
        <f t="array" ref="F155">SUM((MMULT(ISNUMBER(SEARCH(TRANSPOSE(category!$D$2:$D$10), A155))*1, ROW(category!$D$2:$D$10)^0)&gt;0)*1)</f>
        <v>1</v>
      </c>
      <c r="G155" s="4" cm="1">
        <f t="array" ref="G155">SUM((MMULT(ISNUMBER(SEARCH(TRANSPOSE(category!$E$2:$E$8), A155))*1, ROW(category!$E$2:$E$8)^0)&gt;0)*1)</f>
        <v>0</v>
      </c>
      <c r="H155" s="4" cm="1">
        <f t="array" ref="H155">SUM((MMULT(ISNUMBER(SEARCH(TRANSPOSE(category!$F$2:$F$9), A155))*1, ROW(category!$F$2:$F$9)^0)&gt;0)*1)</f>
        <v>0</v>
      </c>
    </row>
    <row r="156" spans="1:8" x14ac:dyDescent="0.45">
      <c r="A156" t="s">
        <v>339</v>
      </c>
      <c r="B156" s="6">
        <f t="shared" si="2"/>
        <v>29</v>
      </c>
      <c r="C156" s="4" cm="1">
        <f t="array" ref="C156">SUM((MMULT(ISNUMBER(SEARCH(TRANSPOSE(category!$A$2:$A$11), A156))*1, ROW(category!$A$2:$A$11)^0)&gt;0)*1)</f>
        <v>0</v>
      </c>
      <c r="D156" s="4" cm="1">
        <f t="array" ref="D156">SUM((MMULT(ISNUMBER(SEARCH(TRANSPOSE(category!$B$2:$B$25), A156))*1, ROW(category!$B$2:$B$25)^0)&gt;0)*1)</f>
        <v>1</v>
      </c>
      <c r="E156" s="4" cm="1">
        <f t="array" ref="E156">SUM((MMULT(ISNUMBER(SEARCH(TRANSPOSE(category!$C$2:$C$4), A156))*1, ROW(category!$C$2:$C$4)^0)&gt;0)*1)</f>
        <v>0</v>
      </c>
      <c r="F156" s="4" cm="1">
        <f t="array" ref="F156">SUM((MMULT(ISNUMBER(SEARCH(TRANSPOSE(category!$D$2:$D$10), A156))*1, ROW(category!$D$2:$D$10)^0)&gt;0)*1)</f>
        <v>1</v>
      </c>
      <c r="G156" s="4" cm="1">
        <f t="array" ref="G156">SUM((MMULT(ISNUMBER(SEARCH(TRANSPOSE(category!$E$2:$E$8), A156))*1, ROW(category!$E$2:$E$8)^0)&gt;0)*1)</f>
        <v>0</v>
      </c>
      <c r="H156" s="4" cm="1">
        <f t="array" ref="H156">SUM((MMULT(ISNUMBER(SEARCH(TRANSPOSE(category!$F$2:$F$9), A156))*1, ROW(category!$F$2:$F$9)^0)&gt;0)*1)</f>
        <v>0</v>
      </c>
    </row>
    <row r="157" spans="1:8" x14ac:dyDescent="0.45">
      <c r="A157" t="s">
        <v>341</v>
      </c>
      <c r="B157" s="6">
        <f t="shared" si="2"/>
        <v>15</v>
      </c>
      <c r="C157" s="4" cm="1">
        <f t="array" ref="C157">SUM((MMULT(ISNUMBER(SEARCH(TRANSPOSE(category!$A$2:$A$11), A157))*1, ROW(category!$A$2:$A$11)^0)&gt;0)*1)</f>
        <v>0</v>
      </c>
      <c r="D157" s="4" cm="1">
        <f t="array" ref="D157">SUM((MMULT(ISNUMBER(SEARCH(TRANSPOSE(category!$B$2:$B$25), A157))*1, ROW(category!$B$2:$B$25)^0)&gt;0)*1)</f>
        <v>1</v>
      </c>
      <c r="E157" s="4" cm="1">
        <f t="array" ref="E157">SUM((MMULT(ISNUMBER(SEARCH(TRANSPOSE(category!$C$2:$C$4), A157))*1, ROW(category!$C$2:$C$4)^0)&gt;0)*1)</f>
        <v>0</v>
      </c>
      <c r="F157" s="4" cm="1">
        <f t="array" ref="F157">SUM((MMULT(ISNUMBER(SEARCH(TRANSPOSE(category!$D$2:$D$10), A157))*1, ROW(category!$D$2:$D$10)^0)&gt;0)*1)</f>
        <v>0</v>
      </c>
      <c r="G157" s="4" cm="1">
        <f t="array" ref="G157">SUM((MMULT(ISNUMBER(SEARCH(TRANSPOSE(category!$E$2:$E$8), A157))*1, ROW(category!$E$2:$E$8)^0)&gt;0)*1)</f>
        <v>0</v>
      </c>
      <c r="H157" s="4" cm="1">
        <f t="array" ref="H157">SUM((MMULT(ISNUMBER(SEARCH(TRANSPOSE(category!$F$2:$F$9), A157))*1, ROW(category!$F$2:$F$9)^0)&gt;0)*1)</f>
        <v>0</v>
      </c>
    </row>
    <row r="158" spans="1:8" x14ac:dyDescent="0.45">
      <c r="A158" t="s">
        <v>343</v>
      </c>
      <c r="B158" s="6">
        <f t="shared" si="2"/>
        <v>31</v>
      </c>
      <c r="C158" s="4" cm="1">
        <f t="array" ref="C158">SUM((MMULT(ISNUMBER(SEARCH(TRANSPOSE(category!$A$2:$A$11), A158))*1, ROW(category!$A$2:$A$11)^0)&gt;0)*1)</f>
        <v>0</v>
      </c>
      <c r="D158" s="4" cm="1">
        <f t="array" ref="D158">SUM((MMULT(ISNUMBER(SEARCH(TRANSPOSE(category!$B$2:$B$25), A158))*1, ROW(category!$B$2:$B$25)^0)&gt;0)*1)</f>
        <v>1</v>
      </c>
      <c r="E158" s="4" cm="1">
        <f t="array" ref="E158">SUM((MMULT(ISNUMBER(SEARCH(TRANSPOSE(category!$C$2:$C$4), A158))*1, ROW(category!$C$2:$C$4)^0)&gt;0)*1)</f>
        <v>0</v>
      </c>
      <c r="F158" s="4" cm="1">
        <f t="array" ref="F158">SUM((MMULT(ISNUMBER(SEARCH(TRANSPOSE(category!$D$2:$D$10), A158))*1, ROW(category!$D$2:$D$10)^0)&gt;0)*1)</f>
        <v>1</v>
      </c>
      <c r="G158" s="4" cm="1">
        <f t="array" ref="G158">SUM((MMULT(ISNUMBER(SEARCH(TRANSPOSE(category!$E$2:$E$8), A158))*1, ROW(category!$E$2:$E$8)^0)&gt;0)*1)</f>
        <v>0</v>
      </c>
      <c r="H158" s="4" cm="1">
        <f t="array" ref="H158">SUM((MMULT(ISNUMBER(SEARCH(TRANSPOSE(category!$F$2:$F$9), A158))*1, ROW(category!$F$2:$F$9)^0)&gt;0)*1)</f>
        <v>1</v>
      </c>
    </row>
    <row r="159" spans="1:8" x14ac:dyDescent="0.45">
      <c r="A159" t="s">
        <v>345</v>
      </c>
      <c r="B159" s="6">
        <f t="shared" si="2"/>
        <v>19</v>
      </c>
      <c r="C159" s="4" cm="1">
        <f t="array" ref="C159">SUM((MMULT(ISNUMBER(SEARCH(TRANSPOSE(category!$A$2:$A$11), A159))*1, ROW(category!$A$2:$A$11)^0)&gt;0)*1)</f>
        <v>0</v>
      </c>
      <c r="D159" s="4" cm="1">
        <f t="array" ref="D159">SUM((MMULT(ISNUMBER(SEARCH(TRANSPOSE(category!$B$2:$B$25), A159))*1, ROW(category!$B$2:$B$25)^0)&gt;0)*1)</f>
        <v>1</v>
      </c>
      <c r="E159" s="4" cm="1">
        <f t="array" ref="E159">SUM((MMULT(ISNUMBER(SEARCH(TRANSPOSE(category!$C$2:$C$4), A159))*1, ROW(category!$C$2:$C$4)^0)&gt;0)*1)</f>
        <v>0</v>
      </c>
      <c r="F159" s="4" cm="1">
        <f t="array" ref="F159">SUM((MMULT(ISNUMBER(SEARCH(TRANSPOSE(category!$D$2:$D$10), A159))*1, ROW(category!$D$2:$D$10)^0)&gt;0)*1)</f>
        <v>0</v>
      </c>
      <c r="G159" s="4" cm="1">
        <f t="array" ref="G159">SUM((MMULT(ISNUMBER(SEARCH(TRANSPOSE(category!$E$2:$E$8), A159))*1, ROW(category!$E$2:$E$8)^0)&gt;0)*1)</f>
        <v>0</v>
      </c>
      <c r="H159" s="4" cm="1">
        <f t="array" ref="H159">SUM((MMULT(ISNUMBER(SEARCH(TRANSPOSE(category!$F$2:$F$9), A159))*1, ROW(category!$F$2:$F$9)^0)&gt;0)*1)</f>
        <v>0</v>
      </c>
    </row>
    <row r="160" spans="1:8" x14ac:dyDescent="0.45">
      <c r="A160" t="s">
        <v>347</v>
      </c>
      <c r="B160" s="6">
        <f t="shared" si="2"/>
        <v>21</v>
      </c>
      <c r="C160" s="4" cm="1">
        <f t="array" ref="C160">SUM((MMULT(ISNUMBER(SEARCH(TRANSPOSE(category!$A$2:$A$11), A160))*1, ROW(category!$A$2:$A$11)^0)&gt;0)*1)</f>
        <v>0</v>
      </c>
      <c r="D160" s="4" cm="1">
        <f t="array" ref="D160">SUM((MMULT(ISNUMBER(SEARCH(TRANSPOSE(category!$B$2:$B$25), A160))*1, ROW(category!$B$2:$B$25)^0)&gt;0)*1)</f>
        <v>1</v>
      </c>
      <c r="E160" s="4" cm="1">
        <f t="array" ref="E160">SUM((MMULT(ISNUMBER(SEARCH(TRANSPOSE(category!$C$2:$C$4), A160))*1, ROW(category!$C$2:$C$4)^0)&gt;0)*1)</f>
        <v>0</v>
      </c>
      <c r="F160" s="4" cm="1">
        <f t="array" ref="F160">SUM((MMULT(ISNUMBER(SEARCH(TRANSPOSE(category!$D$2:$D$10), A160))*1, ROW(category!$D$2:$D$10)^0)&gt;0)*1)</f>
        <v>0</v>
      </c>
      <c r="G160" s="4" cm="1">
        <f t="array" ref="G160">SUM((MMULT(ISNUMBER(SEARCH(TRANSPOSE(category!$E$2:$E$8), A160))*1, ROW(category!$E$2:$E$8)^0)&gt;0)*1)</f>
        <v>0</v>
      </c>
      <c r="H160" s="4" cm="1">
        <f t="array" ref="H160">SUM((MMULT(ISNUMBER(SEARCH(TRANSPOSE(category!$F$2:$F$9), A160))*1, ROW(category!$F$2:$F$9)^0)&gt;0)*1)</f>
        <v>0</v>
      </c>
    </row>
    <row r="161" spans="1:8" x14ac:dyDescent="0.45">
      <c r="A161" t="s">
        <v>349</v>
      </c>
      <c r="B161" s="6">
        <f t="shared" si="2"/>
        <v>26</v>
      </c>
      <c r="C161" s="4" cm="1">
        <f t="array" ref="C161">SUM((MMULT(ISNUMBER(SEARCH(TRANSPOSE(category!$A$2:$A$11), A161))*1, ROW(category!$A$2:$A$11)^0)&gt;0)*1)</f>
        <v>1</v>
      </c>
      <c r="D161" s="4" cm="1">
        <f t="array" ref="D161">SUM((MMULT(ISNUMBER(SEARCH(TRANSPOSE(category!$B$2:$B$25), A161))*1, ROW(category!$B$2:$B$25)^0)&gt;0)*1)</f>
        <v>1</v>
      </c>
      <c r="E161" s="4" cm="1">
        <f t="array" ref="E161">SUM((MMULT(ISNUMBER(SEARCH(TRANSPOSE(category!$C$2:$C$4), A161))*1, ROW(category!$C$2:$C$4)^0)&gt;0)*1)</f>
        <v>0</v>
      </c>
      <c r="F161" s="4" cm="1">
        <f t="array" ref="F161">SUM((MMULT(ISNUMBER(SEARCH(TRANSPOSE(category!$D$2:$D$10), A161))*1, ROW(category!$D$2:$D$10)^0)&gt;0)*1)</f>
        <v>1</v>
      </c>
      <c r="G161" s="4" cm="1">
        <f t="array" ref="G161">SUM((MMULT(ISNUMBER(SEARCH(TRANSPOSE(category!$E$2:$E$8), A161))*1, ROW(category!$E$2:$E$8)^0)&gt;0)*1)</f>
        <v>0</v>
      </c>
      <c r="H161" s="4" cm="1">
        <f t="array" ref="H161">SUM((MMULT(ISNUMBER(SEARCH(TRANSPOSE(category!$F$2:$F$9), A161))*1, ROW(category!$F$2:$F$9)^0)&gt;0)*1)</f>
        <v>0</v>
      </c>
    </row>
    <row r="162" spans="1:8" x14ac:dyDescent="0.45">
      <c r="A162" t="s">
        <v>351</v>
      </c>
      <c r="B162" s="6">
        <f t="shared" si="2"/>
        <v>23</v>
      </c>
      <c r="C162" s="4" cm="1">
        <f t="array" ref="C162">SUM((MMULT(ISNUMBER(SEARCH(TRANSPOSE(category!$A$2:$A$11), A162))*1, ROW(category!$A$2:$A$11)^0)&gt;0)*1)</f>
        <v>0</v>
      </c>
      <c r="D162" s="4" cm="1">
        <f t="array" ref="D162">SUM((MMULT(ISNUMBER(SEARCH(TRANSPOSE(category!$B$2:$B$25), A162))*1, ROW(category!$B$2:$B$25)^0)&gt;0)*1)</f>
        <v>1</v>
      </c>
      <c r="E162" s="4" cm="1">
        <f t="array" ref="E162">SUM((MMULT(ISNUMBER(SEARCH(TRANSPOSE(category!$C$2:$C$4), A162))*1, ROW(category!$C$2:$C$4)^0)&gt;0)*1)</f>
        <v>0</v>
      </c>
      <c r="F162" s="4" cm="1">
        <f t="array" ref="F162">SUM((MMULT(ISNUMBER(SEARCH(TRANSPOSE(category!$D$2:$D$10), A162))*1, ROW(category!$D$2:$D$10)^0)&gt;0)*1)</f>
        <v>0</v>
      </c>
      <c r="G162" s="4" cm="1">
        <f t="array" ref="G162">SUM((MMULT(ISNUMBER(SEARCH(TRANSPOSE(category!$E$2:$E$8), A162))*1, ROW(category!$E$2:$E$8)^0)&gt;0)*1)</f>
        <v>0</v>
      </c>
      <c r="H162" s="4" cm="1">
        <f t="array" ref="H162">SUM((MMULT(ISNUMBER(SEARCH(TRANSPOSE(category!$F$2:$F$9), A162))*1, ROW(category!$F$2:$F$9)^0)&gt;0)*1)</f>
        <v>0</v>
      </c>
    </row>
    <row r="163" spans="1:8" x14ac:dyDescent="0.45">
      <c r="A163" t="s">
        <v>353</v>
      </c>
      <c r="B163" s="6">
        <f t="shared" si="2"/>
        <v>34</v>
      </c>
      <c r="C163" s="4" cm="1">
        <f t="array" ref="C163">SUM((MMULT(ISNUMBER(SEARCH(TRANSPOSE(category!$A$2:$A$11), A163))*1, ROW(category!$A$2:$A$11)^0)&gt;0)*1)</f>
        <v>0</v>
      </c>
      <c r="D163" s="4" cm="1">
        <f t="array" ref="D163">SUM((MMULT(ISNUMBER(SEARCH(TRANSPOSE(category!$B$2:$B$25), A163))*1, ROW(category!$B$2:$B$25)^0)&gt;0)*1)</f>
        <v>1</v>
      </c>
      <c r="E163" s="4" cm="1">
        <f t="array" ref="E163">SUM((MMULT(ISNUMBER(SEARCH(TRANSPOSE(category!$C$2:$C$4), A163))*1, ROW(category!$C$2:$C$4)^0)&gt;0)*1)</f>
        <v>0</v>
      </c>
      <c r="F163" s="4" cm="1">
        <f t="array" ref="F163">SUM((MMULT(ISNUMBER(SEARCH(TRANSPOSE(category!$D$2:$D$10), A163))*1, ROW(category!$D$2:$D$10)^0)&gt;0)*1)</f>
        <v>1</v>
      </c>
      <c r="G163" s="4" cm="1">
        <f t="array" ref="G163">SUM((MMULT(ISNUMBER(SEARCH(TRANSPOSE(category!$E$2:$E$8), A163))*1, ROW(category!$E$2:$E$8)^0)&gt;0)*1)</f>
        <v>0</v>
      </c>
      <c r="H163" s="4" cm="1">
        <f t="array" ref="H163">SUM((MMULT(ISNUMBER(SEARCH(TRANSPOSE(category!$F$2:$F$9), A163))*1, ROW(category!$F$2:$F$9)^0)&gt;0)*1)</f>
        <v>1</v>
      </c>
    </row>
    <row r="164" spans="1:8" x14ac:dyDescent="0.45">
      <c r="A164" t="s">
        <v>355</v>
      </c>
      <c r="B164" s="6">
        <f t="shared" si="2"/>
        <v>40</v>
      </c>
      <c r="C164" s="4" cm="1">
        <f t="array" ref="C164">SUM((MMULT(ISNUMBER(SEARCH(TRANSPOSE(category!$A$2:$A$11), A164))*1, ROW(category!$A$2:$A$11)^0)&gt;0)*1)</f>
        <v>0</v>
      </c>
      <c r="D164" s="4" cm="1">
        <f t="array" ref="D164">SUM((MMULT(ISNUMBER(SEARCH(TRANSPOSE(category!$B$2:$B$25), A164))*1, ROW(category!$B$2:$B$25)^0)&gt;0)*1)</f>
        <v>1</v>
      </c>
      <c r="E164" s="4" cm="1">
        <f t="array" ref="E164">SUM((MMULT(ISNUMBER(SEARCH(TRANSPOSE(category!$C$2:$C$4), A164))*1, ROW(category!$C$2:$C$4)^0)&gt;0)*1)</f>
        <v>0</v>
      </c>
      <c r="F164" s="4" cm="1">
        <f t="array" ref="F164">SUM((MMULT(ISNUMBER(SEARCH(TRANSPOSE(category!$D$2:$D$10), A164))*1, ROW(category!$D$2:$D$10)^0)&gt;0)*1)</f>
        <v>0</v>
      </c>
      <c r="G164" s="4" cm="1">
        <f t="array" ref="G164">SUM((MMULT(ISNUMBER(SEARCH(TRANSPOSE(category!$E$2:$E$8), A164))*1, ROW(category!$E$2:$E$8)^0)&gt;0)*1)</f>
        <v>0</v>
      </c>
      <c r="H164" s="4" cm="1">
        <f t="array" ref="H164">SUM((MMULT(ISNUMBER(SEARCH(TRANSPOSE(category!$F$2:$F$9), A164))*1, ROW(category!$F$2:$F$9)^0)&gt;0)*1)</f>
        <v>0</v>
      </c>
    </row>
    <row r="165" spans="1:8" x14ac:dyDescent="0.45">
      <c r="A165" t="s">
        <v>357</v>
      </c>
      <c r="B165" s="6">
        <f t="shared" si="2"/>
        <v>60</v>
      </c>
      <c r="C165" s="4" cm="1">
        <f t="array" ref="C165">SUM((MMULT(ISNUMBER(SEARCH(TRANSPOSE(category!$A$2:$A$11), A165))*1, ROW(category!$A$2:$A$11)^0)&gt;0)*1)</f>
        <v>0</v>
      </c>
      <c r="D165" s="4" cm="1">
        <f t="array" ref="D165">SUM((MMULT(ISNUMBER(SEARCH(TRANSPOSE(category!$B$2:$B$25), A165))*1, ROW(category!$B$2:$B$25)^0)&gt;0)*1)</f>
        <v>1</v>
      </c>
      <c r="E165" s="4" cm="1">
        <f t="array" ref="E165">SUM((MMULT(ISNUMBER(SEARCH(TRANSPOSE(category!$C$2:$C$4), A165))*1, ROW(category!$C$2:$C$4)^0)&gt;0)*1)</f>
        <v>0</v>
      </c>
      <c r="F165" s="4" cm="1">
        <f t="array" ref="F165">SUM((MMULT(ISNUMBER(SEARCH(TRANSPOSE(category!$D$2:$D$10), A165))*1, ROW(category!$D$2:$D$10)^0)&gt;0)*1)</f>
        <v>1</v>
      </c>
      <c r="G165" s="4" cm="1">
        <f t="array" ref="G165">SUM((MMULT(ISNUMBER(SEARCH(TRANSPOSE(category!$E$2:$E$8), A165))*1, ROW(category!$E$2:$E$8)^0)&gt;0)*1)</f>
        <v>0</v>
      </c>
      <c r="H165" s="4" cm="1">
        <f t="array" ref="H165">SUM((MMULT(ISNUMBER(SEARCH(TRANSPOSE(category!$F$2:$F$9), A165))*1, ROW(category!$F$2:$F$9)^0)&gt;0)*1)</f>
        <v>0</v>
      </c>
    </row>
    <row r="166" spans="1:8" x14ac:dyDescent="0.45">
      <c r="A166" t="s">
        <v>359</v>
      </c>
      <c r="B166" s="6">
        <f t="shared" si="2"/>
        <v>47</v>
      </c>
      <c r="C166" s="4" cm="1">
        <f t="array" ref="C166">SUM((MMULT(ISNUMBER(SEARCH(TRANSPOSE(category!$A$2:$A$11), A166))*1, ROW(category!$A$2:$A$11)^0)&gt;0)*1)</f>
        <v>0</v>
      </c>
      <c r="D166" s="4" cm="1">
        <f t="array" ref="D166">SUM((MMULT(ISNUMBER(SEARCH(TRANSPOSE(category!$B$2:$B$25), A166))*1, ROW(category!$B$2:$B$25)^0)&gt;0)*1)</f>
        <v>1</v>
      </c>
      <c r="E166" s="4" cm="1">
        <f t="array" ref="E166">SUM((MMULT(ISNUMBER(SEARCH(TRANSPOSE(category!$C$2:$C$4), A166))*1, ROW(category!$C$2:$C$4)^0)&gt;0)*1)</f>
        <v>0</v>
      </c>
      <c r="F166" s="4" cm="1">
        <f t="array" ref="F166">SUM((MMULT(ISNUMBER(SEARCH(TRANSPOSE(category!$D$2:$D$10), A166))*1, ROW(category!$D$2:$D$10)^0)&gt;0)*1)</f>
        <v>1</v>
      </c>
      <c r="G166" s="4" cm="1">
        <f t="array" ref="G166">SUM((MMULT(ISNUMBER(SEARCH(TRANSPOSE(category!$E$2:$E$8), A166))*1, ROW(category!$E$2:$E$8)^0)&gt;0)*1)</f>
        <v>0</v>
      </c>
      <c r="H166" s="4" cm="1">
        <f t="array" ref="H166">SUM((MMULT(ISNUMBER(SEARCH(TRANSPOSE(category!$F$2:$F$9), A166))*1, ROW(category!$F$2:$F$9)^0)&gt;0)*1)</f>
        <v>0</v>
      </c>
    </row>
    <row r="167" spans="1:8" x14ac:dyDescent="0.45">
      <c r="A167" t="s">
        <v>361</v>
      </c>
      <c r="B167" s="6">
        <f t="shared" si="2"/>
        <v>27</v>
      </c>
      <c r="C167" s="4" cm="1">
        <f t="array" ref="C167">SUM((MMULT(ISNUMBER(SEARCH(TRANSPOSE(category!$A$2:$A$11), A167))*1, ROW(category!$A$2:$A$11)^0)&gt;0)*1)</f>
        <v>0</v>
      </c>
      <c r="D167" s="4" cm="1">
        <f t="array" ref="D167">SUM((MMULT(ISNUMBER(SEARCH(TRANSPOSE(category!$B$2:$B$25), A167))*1, ROW(category!$B$2:$B$25)^0)&gt;0)*1)</f>
        <v>1</v>
      </c>
      <c r="E167" s="4" cm="1">
        <f t="array" ref="E167">SUM((MMULT(ISNUMBER(SEARCH(TRANSPOSE(category!$C$2:$C$4), A167))*1, ROW(category!$C$2:$C$4)^0)&gt;0)*1)</f>
        <v>0</v>
      </c>
      <c r="F167" s="4" cm="1">
        <f t="array" ref="F167">SUM((MMULT(ISNUMBER(SEARCH(TRANSPOSE(category!$D$2:$D$10), A167))*1, ROW(category!$D$2:$D$10)^0)&gt;0)*1)</f>
        <v>1</v>
      </c>
      <c r="G167" s="4" cm="1">
        <f t="array" ref="G167">SUM((MMULT(ISNUMBER(SEARCH(TRANSPOSE(category!$E$2:$E$8), A167))*1, ROW(category!$E$2:$E$8)^0)&gt;0)*1)</f>
        <v>0</v>
      </c>
      <c r="H167" s="4" cm="1">
        <f t="array" ref="H167">SUM((MMULT(ISNUMBER(SEARCH(TRANSPOSE(category!$F$2:$F$9), A167))*1, ROW(category!$F$2:$F$9)^0)&gt;0)*1)</f>
        <v>0</v>
      </c>
    </row>
    <row r="168" spans="1:8" x14ac:dyDescent="0.45">
      <c r="A168" t="s">
        <v>363</v>
      </c>
      <c r="B168" s="6">
        <f t="shared" si="2"/>
        <v>15</v>
      </c>
      <c r="C168" s="4" cm="1">
        <f t="array" ref="C168">SUM((MMULT(ISNUMBER(SEARCH(TRANSPOSE(category!$A$2:$A$11), A168))*1, ROW(category!$A$2:$A$11)^0)&gt;0)*1)</f>
        <v>1</v>
      </c>
      <c r="D168" s="4" cm="1">
        <f t="array" ref="D168">SUM((MMULT(ISNUMBER(SEARCH(TRANSPOSE(category!$B$2:$B$25), A168))*1, ROW(category!$B$2:$B$25)^0)&gt;0)*1)</f>
        <v>1</v>
      </c>
      <c r="E168" s="4" cm="1">
        <f t="array" ref="E168">SUM((MMULT(ISNUMBER(SEARCH(TRANSPOSE(category!$C$2:$C$4), A168))*1, ROW(category!$C$2:$C$4)^0)&gt;0)*1)</f>
        <v>0</v>
      </c>
      <c r="F168" s="4" cm="1">
        <f t="array" ref="F168">SUM((MMULT(ISNUMBER(SEARCH(TRANSPOSE(category!$D$2:$D$10), A168))*1, ROW(category!$D$2:$D$10)^0)&gt;0)*1)</f>
        <v>0</v>
      </c>
      <c r="G168" s="4" cm="1">
        <f t="array" ref="G168">SUM((MMULT(ISNUMBER(SEARCH(TRANSPOSE(category!$E$2:$E$8), A168))*1, ROW(category!$E$2:$E$8)^0)&gt;0)*1)</f>
        <v>0</v>
      </c>
      <c r="H168" s="4" cm="1">
        <f t="array" ref="H168">SUM((MMULT(ISNUMBER(SEARCH(TRANSPOSE(category!$F$2:$F$9), A168))*1, ROW(category!$F$2:$F$9)^0)&gt;0)*1)</f>
        <v>0</v>
      </c>
    </row>
    <row r="169" spans="1:8" x14ac:dyDescent="0.45">
      <c r="A169" t="s">
        <v>365</v>
      </c>
      <c r="B169" s="6">
        <f t="shared" si="2"/>
        <v>40</v>
      </c>
      <c r="C169" s="4" cm="1">
        <f t="array" ref="C169">SUM((MMULT(ISNUMBER(SEARCH(TRANSPOSE(category!$A$2:$A$11), A169))*1, ROW(category!$A$2:$A$11)^0)&gt;0)*1)</f>
        <v>1</v>
      </c>
      <c r="D169" s="4" cm="1">
        <f t="array" ref="D169">SUM((MMULT(ISNUMBER(SEARCH(TRANSPOSE(category!$B$2:$B$25), A169))*1, ROW(category!$B$2:$B$25)^0)&gt;0)*1)</f>
        <v>1</v>
      </c>
      <c r="E169" s="4" cm="1">
        <f t="array" ref="E169">SUM((MMULT(ISNUMBER(SEARCH(TRANSPOSE(category!$C$2:$C$4), A169))*1, ROW(category!$C$2:$C$4)^0)&gt;0)*1)</f>
        <v>0</v>
      </c>
      <c r="F169" s="4" cm="1">
        <f t="array" ref="F169">SUM((MMULT(ISNUMBER(SEARCH(TRANSPOSE(category!$D$2:$D$10), A169))*1, ROW(category!$D$2:$D$10)^0)&gt;0)*1)</f>
        <v>1</v>
      </c>
      <c r="G169" s="4" cm="1">
        <f t="array" ref="G169">SUM((MMULT(ISNUMBER(SEARCH(TRANSPOSE(category!$E$2:$E$8), A169))*1, ROW(category!$E$2:$E$8)^0)&gt;0)*1)</f>
        <v>0</v>
      </c>
      <c r="H169" s="4" cm="1">
        <f t="array" ref="H169">SUM((MMULT(ISNUMBER(SEARCH(TRANSPOSE(category!$F$2:$F$9), A169))*1, ROW(category!$F$2:$F$9)^0)&gt;0)*1)</f>
        <v>0</v>
      </c>
    </row>
    <row r="170" spans="1:8" x14ac:dyDescent="0.45">
      <c r="A170" t="s">
        <v>367</v>
      </c>
      <c r="B170" s="6">
        <f t="shared" si="2"/>
        <v>24</v>
      </c>
      <c r="C170" s="4" cm="1">
        <f t="array" ref="C170">SUM((MMULT(ISNUMBER(SEARCH(TRANSPOSE(category!$A$2:$A$11), A170))*1, ROW(category!$A$2:$A$11)^0)&gt;0)*1)</f>
        <v>0</v>
      </c>
      <c r="D170" s="4" cm="1">
        <f t="array" ref="D170">SUM((MMULT(ISNUMBER(SEARCH(TRANSPOSE(category!$B$2:$B$25), A170))*1, ROW(category!$B$2:$B$25)^0)&gt;0)*1)</f>
        <v>1</v>
      </c>
      <c r="E170" s="4" cm="1">
        <f t="array" ref="E170">SUM((MMULT(ISNUMBER(SEARCH(TRANSPOSE(category!$C$2:$C$4), A170))*1, ROW(category!$C$2:$C$4)^0)&gt;0)*1)</f>
        <v>0</v>
      </c>
      <c r="F170" s="4" cm="1">
        <f t="array" ref="F170">SUM((MMULT(ISNUMBER(SEARCH(TRANSPOSE(category!$D$2:$D$10), A170))*1, ROW(category!$D$2:$D$10)^0)&gt;0)*1)</f>
        <v>1</v>
      </c>
      <c r="G170" s="4" cm="1">
        <f t="array" ref="G170">SUM((MMULT(ISNUMBER(SEARCH(TRANSPOSE(category!$E$2:$E$8), A170))*1, ROW(category!$E$2:$E$8)^0)&gt;0)*1)</f>
        <v>0</v>
      </c>
      <c r="H170" s="4" cm="1">
        <f t="array" ref="H170">SUM((MMULT(ISNUMBER(SEARCH(TRANSPOSE(category!$F$2:$F$9), A170))*1, ROW(category!$F$2:$F$9)^0)&gt;0)*1)</f>
        <v>1</v>
      </c>
    </row>
    <row r="171" spans="1:8" x14ac:dyDescent="0.45">
      <c r="A171" t="s">
        <v>369</v>
      </c>
      <c r="B171" s="6">
        <f t="shared" si="2"/>
        <v>27</v>
      </c>
      <c r="C171" s="4" cm="1">
        <f t="array" ref="C171">SUM((MMULT(ISNUMBER(SEARCH(TRANSPOSE(category!$A$2:$A$11), A171))*1, ROW(category!$A$2:$A$11)^0)&gt;0)*1)</f>
        <v>0</v>
      </c>
      <c r="D171" s="4" cm="1">
        <f t="array" ref="D171">SUM((MMULT(ISNUMBER(SEARCH(TRANSPOSE(category!$B$2:$B$25), A171))*1, ROW(category!$B$2:$B$25)^0)&gt;0)*1)</f>
        <v>1</v>
      </c>
      <c r="E171" s="4" cm="1">
        <f t="array" ref="E171">SUM((MMULT(ISNUMBER(SEARCH(TRANSPOSE(category!$C$2:$C$4), A171))*1, ROW(category!$C$2:$C$4)^0)&gt;0)*1)</f>
        <v>0</v>
      </c>
      <c r="F171" s="4" cm="1">
        <f t="array" ref="F171">SUM((MMULT(ISNUMBER(SEARCH(TRANSPOSE(category!$D$2:$D$10), A171))*1, ROW(category!$D$2:$D$10)^0)&gt;0)*1)</f>
        <v>1</v>
      </c>
      <c r="G171" s="4" cm="1">
        <f t="array" ref="G171">SUM((MMULT(ISNUMBER(SEARCH(TRANSPOSE(category!$E$2:$E$8), A171))*1, ROW(category!$E$2:$E$8)^0)&gt;0)*1)</f>
        <v>0</v>
      </c>
      <c r="H171" s="4" cm="1">
        <f t="array" ref="H171">SUM((MMULT(ISNUMBER(SEARCH(TRANSPOSE(category!$F$2:$F$9), A171))*1, ROW(category!$F$2:$F$9)^0)&gt;0)*1)</f>
        <v>0</v>
      </c>
    </row>
    <row r="172" spans="1:8" x14ac:dyDescent="0.45">
      <c r="A172" t="s">
        <v>371</v>
      </c>
      <c r="B172" s="6">
        <f t="shared" si="2"/>
        <v>69</v>
      </c>
      <c r="C172" s="4" cm="1">
        <f t="array" ref="C172">SUM((MMULT(ISNUMBER(SEARCH(TRANSPOSE(category!$A$2:$A$11), A172))*1, ROW(category!$A$2:$A$11)^0)&gt;0)*1)</f>
        <v>0</v>
      </c>
      <c r="D172" s="4" cm="1">
        <f t="array" ref="D172">SUM((MMULT(ISNUMBER(SEARCH(TRANSPOSE(category!$B$2:$B$25), A172))*1, ROW(category!$B$2:$B$25)^0)&gt;0)*1)</f>
        <v>1</v>
      </c>
      <c r="E172" s="4" cm="1">
        <f t="array" ref="E172">SUM((MMULT(ISNUMBER(SEARCH(TRANSPOSE(category!$C$2:$C$4), A172))*1, ROW(category!$C$2:$C$4)^0)&gt;0)*1)</f>
        <v>0</v>
      </c>
      <c r="F172" s="4" cm="1">
        <f t="array" ref="F172">SUM((MMULT(ISNUMBER(SEARCH(TRANSPOSE(category!$D$2:$D$10), A172))*1, ROW(category!$D$2:$D$10)^0)&gt;0)*1)</f>
        <v>1</v>
      </c>
      <c r="G172" s="4" cm="1">
        <f t="array" ref="G172">SUM((MMULT(ISNUMBER(SEARCH(TRANSPOSE(category!$E$2:$E$8), A172))*1, ROW(category!$E$2:$E$8)^0)&gt;0)*1)</f>
        <v>0</v>
      </c>
      <c r="H172" s="4" cm="1">
        <f t="array" ref="H172">SUM((MMULT(ISNUMBER(SEARCH(TRANSPOSE(category!$F$2:$F$9), A172))*1, ROW(category!$F$2:$F$9)^0)&gt;0)*1)</f>
        <v>1</v>
      </c>
    </row>
    <row r="173" spans="1:8" x14ac:dyDescent="0.45">
      <c r="A173" t="s">
        <v>373</v>
      </c>
      <c r="B173" s="6">
        <f t="shared" si="2"/>
        <v>84</v>
      </c>
      <c r="C173" s="4" cm="1">
        <f t="array" ref="C173">SUM((MMULT(ISNUMBER(SEARCH(TRANSPOSE(category!$A$2:$A$11), A173))*1, ROW(category!$A$2:$A$11)^0)&gt;0)*1)</f>
        <v>1</v>
      </c>
      <c r="D173" s="4" cm="1">
        <f t="array" ref="D173">SUM((MMULT(ISNUMBER(SEARCH(TRANSPOSE(category!$B$2:$B$25), A173))*1, ROW(category!$B$2:$B$25)^0)&gt;0)*1)</f>
        <v>1</v>
      </c>
      <c r="E173" s="4" cm="1">
        <f t="array" ref="E173">SUM((MMULT(ISNUMBER(SEARCH(TRANSPOSE(category!$C$2:$C$4), A173))*1, ROW(category!$C$2:$C$4)^0)&gt;0)*1)</f>
        <v>1</v>
      </c>
      <c r="F173" s="4" cm="1">
        <f t="array" ref="F173">SUM((MMULT(ISNUMBER(SEARCH(TRANSPOSE(category!$D$2:$D$10), A173))*1, ROW(category!$D$2:$D$10)^0)&gt;0)*1)</f>
        <v>1</v>
      </c>
      <c r="G173" s="4" cm="1">
        <f t="array" ref="G173">SUM((MMULT(ISNUMBER(SEARCH(TRANSPOSE(category!$E$2:$E$8), A173))*1, ROW(category!$E$2:$E$8)^0)&gt;0)*1)</f>
        <v>0</v>
      </c>
      <c r="H173" s="4" cm="1">
        <f t="array" ref="H173">SUM((MMULT(ISNUMBER(SEARCH(TRANSPOSE(category!$F$2:$F$9), A173))*1, ROW(category!$F$2:$F$9)^0)&gt;0)*1)</f>
        <v>1</v>
      </c>
    </row>
    <row r="174" spans="1:8" x14ac:dyDescent="0.45">
      <c r="A174" t="s">
        <v>375</v>
      </c>
      <c r="B174" s="6">
        <f t="shared" si="2"/>
        <v>74</v>
      </c>
      <c r="C174" s="4" cm="1">
        <f t="array" ref="C174">SUM((MMULT(ISNUMBER(SEARCH(TRANSPOSE(category!$A$2:$A$11), A174))*1, ROW(category!$A$2:$A$11)^0)&gt;0)*1)</f>
        <v>1</v>
      </c>
      <c r="D174" s="4" cm="1">
        <f t="array" ref="D174">SUM((MMULT(ISNUMBER(SEARCH(TRANSPOSE(category!$B$2:$B$25), A174))*1, ROW(category!$B$2:$B$25)^0)&gt;0)*1)</f>
        <v>1</v>
      </c>
      <c r="E174" s="4" cm="1">
        <f t="array" ref="E174">SUM((MMULT(ISNUMBER(SEARCH(TRANSPOSE(category!$C$2:$C$4), A174))*1, ROW(category!$C$2:$C$4)^0)&gt;0)*1)</f>
        <v>1</v>
      </c>
      <c r="F174" s="4" cm="1">
        <f t="array" ref="F174">SUM((MMULT(ISNUMBER(SEARCH(TRANSPOSE(category!$D$2:$D$10), A174))*1, ROW(category!$D$2:$D$10)^0)&gt;0)*1)</f>
        <v>1</v>
      </c>
      <c r="G174" s="4" cm="1">
        <f t="array" ref="G174">SUM((MMULT(ISNUMBER(SEARCH(TRANSPOSE(category!$E$2:$E$8), A174))*1, ROW(category!$E$2:$E$8)^0)&gt;0)*1)</f>
        <v>0</v>
      </c>
      <c r="H174" s="4" cm="1">
        <f t="array" ref="H174">SUM((MMULT(ISNUMBER(SEARCH(TRANSPOSE(category!$F$2:$F$9), A174))*1, ROW(category!$F$2:$F$9)^0)&gt;0)*1)</f>
        <v>0</v>
      </c>
    </row>
    <row r="175" spans="1:8" x14ac:dyDescent="0.45">
      <c r="A175" t="s">
        <v>377</v>
      </c>
      <c r="B175" s="6">
        <f t="shared" si="2"/>
        <v>24</v>
      </c>
      <c r="C175" s="4" cm="1">
        <f t="array" ref="C175">SUM((MMULT(ISNUMBER(SEARCH(TRANSPOSE(category!$A$2:$A$11), A175))*1, ROW(category!$A$2:$A$11)^0)&gt;0)*1)</f>
        <v>1</v>
      </c>
      <c r="D175" s="4" cm="1">
        <f t="array" ref="D175">SUM((MMULT(ISNUMBER(SEARCH(TRANSPOSE(category!$B$2:$B$25), A175))*1, ROW(category!$B$2:$B$25)^0)&gt;0)*1)</f>
        <v>1</v>
      </c>
      <c r="E175" s="4" cm="1">
        <f t="array" ref="E175">SUM((MMULT(ISNUMBER(SEARCH(TRANSPOSE(category!$C$2:$C$4), A175))*1, ROW(category!$C$2:$C$4)^0)&gt;0)*1)</f>
        <v>1</v>
      </c>
      <c r="F175" s="4" cm="1">
        <f t="array" ref="F175">SUM((MMULT(ISNUMBER(SEARCH(TRANSPOSE(category!$D$2:$D$10), A175))*1, ROW(category!$D$2:$D$10)^0)&gt;0)*1)</f>
        <v>1</v>
      </c>
      <c r="G175" s="4" cm="1">
        <f t="array" ref="G175">SUM((MMULT(ISNUMBER(SEARCH(TRANSPOSE(category!$E$2:$E$8), A175))*1, ROW(category!$E$2:$E$8)^0)&gt;0)*1)</f>
        <v>0</v>
      </c>
      <c r="H175" s="4" cm="1">
        <f t="array" ref="H175">SUM((MMULT(ISNUMBER(SEARCH(TRANSPOSE(category!$F$2:$F$9), A175))*1, ROW(category!$F$2:$F$9)^0)&gt;0)*1)</f>
        <v>0</v>
      </c>
    </row>
    <row r="176" spans="1:8" x14ac:dyDescent="0.45">
      <c r="A176" t="s">
        <v>379</v>
      </c>
      <c r="B176" s="6">
        <f t="shared" si="2"/>
        <v>29</v>
      </c>
      <c r="C176" s="4" cm="1">
        <f t="array" ref="C176">SUM((MMULT(ISNUMBER(SEARCH(TRANSPOSE(category!$A$2:$A$11), A176))*1, ROW(category!$A$2:$A$11)^0)&gt;0)*1)</f>
        <v>1</v>
      </c>
      <c r="D176" s="4" cm="1">
        <f t="array" ref="D176">SUM((MMULT(ISNUMBER(SEARCH(TRANSPOSE(category!$B$2:$B$25), A176))*1, ROW(category!$B$2:$B$25)^0)&gt;0)*1)</f>
        <v>1</v>
      </c>
      <c r="E176" s="4" cm="1">
        <f t="array" ref="E176">SUM((MMULT(ISNUMBER(SEARCH(TRANSPOSE(category!$C$2:$C$4), A176))*1, ROW(category!$C$2:$C$4)^0)&gt;0)*1)</f>
        <v>1</v>
      </c>
      <c r="F176" s="4" cm="1">
        <f t="array" ref="F176">SUM((MMULT(ISNUMBER(SEARCH(TRANSPOSE(category!$D$2:$D$10), A176))*1, ROW(category!$D$2:$D$10)^0)&gt;0)*1)</f>
        <v>0</v>
      </c>
      <c r="G176" s="4" cm="1">
        <f t="array" ref="G176">SUM((MMULT(ISNUMBER(SEARCH(TRANSPOSE(category!$E$2:$E$8), A176))*1, ROW(category!$E$2:$E$8)^0)&gt;0)*1)</f>
        <v>0</v>
      </c>
      <c r="H176" s="4" cm="1">
        <f t="array" ref="H176">SUM((MMULT(ISNUMBER(SEARCH(TRANSPOSE(category!$F$2:$F$9), A176))*1, ROW(category!$F$2:$F$9)^0)&gt;0)*1)</f>
        <v>0</v>
      </c>
    </row>
    <row r="177" spans="1:8" x14ac:dyDescent="0.45">
      <c r="A177" t="s">
        <v>381</v>
      </c>
      <c r="B177" s="6">
        <f t="shared" si="2"/>
        <v>137</v>
      </c>
      <c r="C177" s="4" cm="1">
        <f t="array" ref="C177">SUM((MMULT(ISNUMBER(SEARCH(TRANSPOSE(category!$A$2:$A$11), A177))*1, ROW(category!$A$2:$A$11)^0)&gt;0)*1)</f>
        <v>0</v>
      </c>
      <c r="D177" s="4" cm="1">
        <f t="array" ref="D177">SUM((MMULT(ISNUMBER(SEARCH(TRANSPOSE(category!$B$2:$B$25), A177))*1, ROW(category!$B$2:$B$25)^0)&gt;0)*1)</f>
        <v>1</v>
      </c>
      <c r="E177" s="4" cm="1">
        <f t="array" ref="E177">SUM((MMULT(ISNUMBER(SEARCH(TRANSPOSE(category!$C$2:$C$4), A177))*1, ROW(category!$C$2:$C$4)^0)&gt;0)*1)</f>
        <v>0</v>
      </c>
      <c r="F177" s="4" cm="1">
        <f t="array" ref="F177">SUM((MMULT(ISNUMBER(SEARCH(TRANSPOSE(category!$D$2:$D$10), A177))*1, ROW(category!$D$2:$D$10)^0)&gt;0)*1)</f>
        <v>1</v>
      </c>
      <c r="G177" s="4" cm="1">
        <f t="array" ref="G177">SUM((MMULT(ISNUMBER(SEARCH(TRANSPOSE(category!$E$2:$E$8), A177))*1, ROW(category!$E$2:$E$8)^0)&gt;0)*1)</f>
        <v>0</v>
      </c>
      <c r="H177" s="4" cm="1">
        <f t="array" ref="H177">SUM((MMULT(ISNUMBER(SEARCH(TRANSPOSE(category!$F$2:$F$9), A177))*1, ROW(category!$F$2:$F$9)^0)&gt;0)*1)</f>
        <v>1</v>
      </c>
    </row>
    <row r="178" spans="1:8" x14ac:dyDescent="0.45">
      <c r="A178" t="s">
        <v>383</v>
      </c>
      <c r="B178" s="6">
        <f t="shared" si="2"/>
        <v>13</v>
      </c>
      <c r="C178" s="4" cm="1">
        <f t="array" ref="C178">SUM((MMULT(ISNUMBER(SEARCH(TRANSPOSE(category!$A$2:$A$11), A178))*1, ROW(category!$A$2:$A$11)^0)&gt;0)*1)</f>
        <v>0</v>
      </c>
      <c r="D178" s="4" cm="1">
        <f t="array" ref="D178">SUM((MMULT(ISNUMBER(SEARCH(TRANSPOSE(category!$B$2:$B$25), A178))*1, ROW(category!$B$2:$B$25)^0)&gt;0)*1)</f>
        <v>0</v>
      </c>
      <c r="E178" s="4" cm="1">
        <f t="array" ref="E178">SUM((MMULT(ISNUMBER(SEARCH(TRANSPOSE(category!$C$2:$C$4), A178))*1, ROW(category!$C$2:$C$4)^0)&gt;0)*1)</f>
        <v>0</v>
      </c>
      <c r="F178" s="4" cm="1">
        <f t="array" ref="F178">SUM((MMULT(ISNUMBER(SEARCH(TRANSPOSE(category!$D$2:$D$10), A178))*1, ROW(category!$D$2:$D$10)^0)&gt;0)*1)</f>
        <v>0</v>
      </c>
      <c r="G178" s="4" cm="1">
        <f t="array" ref="G178">SUM((MMULT(ISNUMBER(SEARCH(TRANSPOSE(category!$E$2:$E$8), A178))*1, ROW(category!$E$2:$E$8)^0)&gt;0)*1)</f>
        <v>0</v>
      </c>
      <c r="H178" s="4" cm="1">
        <f t="array" ref="H178">SUM((MMULT(ISNUMBER(SEARCH(TRANSPOSE(category!$F$2:$F$9), A178))*1, ROW(category!$F$2:$F$9)^0)&gt;0)*1)</f>
        <v>0</v>
      </c>
    </row>
    <row r="179" spans="1:8" x14ac:dyDescent="0.45">
      <c r="A179" t="s">
        <v>385</v>
      </c>
      <c r="B179" s="6">
        <f t="shared" si="2"/>
        <v>56</v>
      </c>
      <c r="C179" s="4" cm="1">
        <f t="array" ref="C179">SUM((MMULT(ISNUMBER(SEARCH(TRANSPOSE(category!$A$2:$A$11), A179))*1, ROW(category!$A$2:$A$11)^0)&gt;0)*1)</f>
        <v>1</v>
      </c>
      <c r="D179" s="4" cm="1">
        <f t="array" ref="D179">SUM((MMULT(ISNUMBER(SEARCH(TRANSPOSE(category!$B$2:$B$25), A179))*1, ROW(category!$B$2:$B$25)^0)&gt;0)*1)</f>
        <v>1</v>
      </c>
      <c r="E179" s="4" cm="1">
        <f t="array" ref="E179">SUM((MMULT(ISNUMBER(SEARCH(TRANSPOSE(category!$C$2:$C$4), A179))*1, ROW(category!$C$2:$C$4)^0)&gt;0)*1)</f>
        <v>0</v>
      </c>
      <c r="F179" s="4" cm="1">
        <f t="array" ref="F179">SUM((MMULT(ISNUMBER(SEARCH(TRANSPOSE(category!$D$2:$D$10), A179))*1, ROW(category!$D$2:$D$10)^0)&gt;0)*1)</f>
        <v>1</v>
      </c>
      <c r="G179" s="4" cm="1">
        <f t="array" ref="G179">SUM((MMULT(ISNUMBER(SEARCH(TRANSPOSE(category!$E$2:$E$8), A179))*1, ROW(category!$E$2:$E$8)^0)&gt;0)*1)</f>
        <v>0</v>
      </c>
      <c r="H179" s="4" cm="1">
        <f t="array" ref="H179">SUM((MMULT(ISNUMBER(SEARCH(TRANSPOSE(category!$F$2:$F$9), A179))*1, ROW(category!$F$2:$F$9)^0)&gt;0)*1)</f>
        <v>0</v>
      </c>
    </row>
    <row r="180" spans="1:8" x14ac:dyDescent="0.45">
      <c r="A180" t="s">
        <v>387</v>
      </c>
      <c r="B180" s="6">
        <f t="shared" si="2"/>
        <v>31</v>
      </c>
      <c r="C180" s="4" cm="1">
        <f t="array" ref="C180">SUM((MMULT(ISNUMBER(SEARCH(TRANSPOSE(category!$A$2:$A$11), A180))*1, ROW(category!$A$2:$A$11)^0)&gt;0)*1)</f>
        <v>0</v>
      </c>
      <c r="D180" s="4" cm="1">
        <f t="array" ref="D180">SUM((MMULT(ISNUMBER(SEARCH(TRANSPOSE(category!$B$2:$B$25), A180))*1, ROW(category!$B$2:$B$25)^0)&gt;0)*1)</f>
        <v>1</v>
      </c>
      <c r="E180" s="4" cm="1">
        <f t="array" ref="E180">SUM((MMULT(ISNUMBER(SEARCH(TRANSPOSE(category!$C$2:$C$4), A180))*1, ROW(category!$C$2:$C$4)^0)&gt;0)*1)</f>
        <v>0</v>
      </c>
      <c r="F180" s="4" cm="1">
        <f t="array" ref="F180">SUM((MMULT(ISNUMBER(SEARCH(TRANSPOSE(category!$D$2:$D$10), A180))*1, ROW(category!$D$2:$D$10)^0)&gt;0)*1)</f>
        <v>1</v>
      </c>
      <c r="G180" s="4" cm="1">
        <f t="array" ref="G180">SUM((MMULT(ISNUMBER(SEARCH(TRANSPOSE(category!$E$2:$E$8), A180))*1, ROW(category!$E$2:$E$8)^0)&gt;0)*1)</f>
        <v>0</v>
      </c>
      <c r="H180" s="4" cm="1">
        <f t="array" ref="H180">SUM((MMULT(ISNUMBER(SEARCH(TRANSPOSE(category!$F$2:$F$9), A180))*1, ROW(category!$F$2:$F$9)^0)&gt;0)*1)</f>
        <v>0</v>
      </c>
    </row>
    <row r="181" spans="1:8" x14ac:dyDescent="0.45">
      <c r="A181" t="s">
        <v>389</v>
      </c>
      <c r="B181" s="6">
        <f t="shared" si="2"/>
        <v>28</v>
      </c>
      <c r="C181" s="4" cm="1">
        <f t="array" ref="C181">SUM((MMULT(ISNUMBER(SEARCH(TRANSPOSE(category!$A$2:$A$11), A181))*1, ROW(category!$A$2:$A$11)^0)&gt;0)*1)</f>
        <v>0</v>
      </c>
      <c r="D181" s="4" cm="1">
        <f t="array" ref="D181">SUM((MMULT(ISNUMBER(SEARCH(TRANSPOSE(category!$B$2:$B$25), A181))*1, ROW(category!$B$2:$B$25)^0)&gt;0)*1)</f>
        <v>1</v>
      </c>
      <c r="E181" s="4" cm="1">
        <f t="array" ref="E181">SUM((MMULT(ISNUMBER(SEARCH(TRANSPOSE(category!$C$2:$C$4), A181))*1, ROW(category!$C$2:$C$4)^0)&gt;0)*1)</f>
        <v>0</v>
      </c>
      <c r="F181" s="4" cm="1">
        <f t="array" ref="F181">SUM((MMULT(ISNUMBER(SEARCH(TRANSPOSE(category!$D$2:$D$10), A181))*1, ROW(category!$D$2:$D$10)^0)&gt;0)*1)</f>
        <v>0</v>
      </c>
      <c r="G181" s="4" cm="1">
        <f t="array" ref="G181">SUM((MMULT(ISNUMBER(SEARCH(TRANSPOSE(category!$E$2:$E$8), A181))*1, ROW(category!$E$2:$E$8)^0)&gt;0)*1)</f>
        <v>0</v>
      </c>
      <c r="H181" s="4" cm="1">
        <f t="array" ref="H181">SUM((MMULT(ISNUMBER(SEARCH(TRANSPOSE(category!$F$2:$F$9), A181))*1, ROW(category!$F$2:$F$9)^0)&gt;0)*1)</f>
        <v>0</v>
      </c>
    </row>
    <row r="182" spans="1:8" x14ac:dyDescent="0.45">
      <c r="A182" t="s">
        <v>391</v>
      </c>
      <c r="B182" s="6">
        <f t="shared" si="2"/>
        <v>47</v>
      </c>
      <c r="C182" s="4" cm="1">
        <f t="array" ref="C182">SUM((MMULT(ISNUMBER(SEARCH(TRANSPOSE(category!$A$2:$A$11), A182))*1, ROW(category!$A$2:$A$11)^0)&gt;0)*1)</f>
        <v>1</v>
      </c>
      <c r="D182" s="4" cm="1">
        <f t="array" ref="D182">SUM((MMULT(ISNUMBER(SEARCH(TRANSPOSE(category!$B$2:$B$25), A182))*1, ROW(category!$B$2:$B$25)^0)&gt;0)*1)</f>
        <v>1</v>
      </c>
      <c r="E182" s="4" cm="1">
        <f t="array" ref="E182">SUM((MMULT(ISNUMBER(SEARCH(TRANSPOSE(category!$C$2:$C$4), A182))*1, ROW(category!$C$2:$C$4)^0)&gt;0)*1)</f>
        <v>0</v>
      </c>
      <c r="F182" s="4" cm="1">
        <f t="array" ref="F182">SUM((MMULT(ISNUMBER(SEARCH(TRANSPOSE(category!$D$2:$D$10), A182))*1, ROW(category!$D$2:$D$10)^0)&gt;0)*1)</f>
        <v>1</v>
      </c>
      <c r="G182" s="4" cm="1">
        <f t="array" ref="G182">SUM((MMULT(ISNUMBER(SEARCH(TRANSPOSE(category!$E$2:$E$8), A182))*1, ROW(category!$E$2:$E$8)^0)&gt;0)*1)</f>
        <v>0</v>
      </c>
      <c r="H182" s="4" cm="1">
        <f t="array" ref="H182">SUM((MMULT(ISNUMBER(SEARCH(TRANSPOSE(category!$F$2:$F$9), A182))*1, ROW(category!$F$2:$F$9)^0)&gt;0)*1)</f>
        <v>0</v>
      </c>
    </row>
    <row r="183" spans="1:8" x14ac:dyDescent="0.45">
      <c r="A183" t="s">
        <v>393</v>
      </c>
      <c r="B183" s="6">
        <f t="shared" si="2"/>
        <v>50</v>
      </c>
      <c r="C183" s="4" cm="1">
        <f t="array" ref="C183">SUM((MMULT(ISNUMBER(SEARCH(TRANSPOSE(category!$A$2:$A$11), A183))*1, ROW(category!$A$2:$A$11)^0)&gt;0)*1)</f>
        <v>1</v>
      </c>
      <c r="D183" s="4" cm="1">
        <f t="array" ref="D183">SUM((MMULT(ISNUMBER(SEARCH(TRANSPOSE(category!$B$2:$B$25), A183))*1, ROW(category!$B$2:$B$25)^0)&gt;0)*1)</f>
        <v>1</v>
      </c>
      <c r="E183" s="4" cm="1">
        <f t="array" ref="E183">SUM((MMULT(ISNUMBER(SEARCH(TRANSPOSE(category!$C$2:$C$4), A183))*1, ROW(category!$C$2:$C$4)^0)&gt;0)*1)</f>
        <v>0</v>
      </c>
      <c r="F183" s="4" cm="1">
        <f t="array" ref="F183">SUM((MMULT(ISNUMBER(SEARCH(TRANSPOSE(category!$D$2:$D$10), A183))*1, ROW(category!$D$2:$D$10)^0)&gt;0)*1)</f>
        <v>1</v>
      </c>
      <c r="G183" s="4" cm="1">
        <f t="array" ref="G183">SUM((MMULT(ISNUMBER(SEARCH(TRANSPOSE(category!$E$2:$E$8), A183))*1, ROW(category!$E$2:$E$8)^0)&gt;0)*1)</f>
        <v>0</v>
      </c>
      <c r="H183" s="4" cm="1">
        <f t="array" ref="H183">SUM((MMULT(ISNUMBER(SEARCH(TRANSPOSE(category!$F$2:$F$9), A183))*1, ROW(category!$F$2:$F$9)^0)&gt;0)*1)</f>
        <v>1</v>
      </c>
    </row>
    <row r="184" spans="1:8" x14ac:dyDescent="0.45">
      <c r="A184" t="s">
        <v>395</v>
      </c>
      <c r="B184" s="6">
        <f t="shared" si="2"/>
        <v>16</v>
      </c>
      <c r="C184" s="4" cm="1">
        <f t="array" ref="C184">SUM((MMULT(ISNUMBER(SEARCH(TRANSPOSE(category!$A$2:$A$11), A184))*1, ROW(category!$A$2:$A$11)^0)&gt;0)*1)</f>
        <v>0</v>
      </c>
      <c r="D184" s="4" cm="1">
        <f t="array" ref="D184">SUM((MMULT(ISNUMBER(SEARCH(TRANSPOSE(category!$B$2:$B$25), A184))*1, ROW(category!$B$2:$B$25)^0)&gt;0)*1)</f>
        <v>1</v>
      </c>
      <c r="E184" s="4" cm="1">
        <f t="array" ref="E184">SUM((MMULT(ISNUMBER(SEARCH(TRANSPOSE(category!$C$2:$C$4), A184))*1, ROW(category!$C$2:$C$4)^0)&gt;0)*1)</f>
        <v>0</v>
      </c>
      <c r="F184" s="4" cm="1">
        <f t="array" ref="F184">SUM((MMULT(ISNUMBER(SEARCH(TRANSPOSE(category!$D$2:$D$10), A184))*1, ROW(category!$D$2:$D$10)^0)&gt;0)*1)</f>
        <v>1</v>
      </c>
      <c r="G184" s="4" cm="1">
        <f t="array" ref="G184">SUM((MMULT(ISNUMBER(SEARCH(TRANSPOSE(category!$E$2:$E$8), A184))*1, ROW(category!$E$2:$E$8)^0)&gt;0)*1)</f>
        <v>0</v>
      </c>
      <c r="H184" s="4" cm="1">
        <f t="array" ref="H184">SUM((MMULT(ISNUMBER(SEARCH(TRANSPOSE(category!$F$2:$F$9), A184))*1, ROW(category!$F$2:$F$9)^0)&gt;0)*1)</f>
        <v>0</v>
      </c>
    </row>
    <row r="185" spans="1:8" x14ac:dyDescent="0.45">
      <c r="A185" t="s">
        <v>397</v>
      </c>
      <c r="B185" s="6">
        <f t="shared" si="2"/>
        <v>70</v>
      </c>
      <c r="C185" s="4" cm="1">
        <f t="array" ref="C185">SUM((MMULT(ISNUMBER(SEARCH(TRANSPOSE(category!$A$2:$A$11), A185))*1, ROW(category!$A$2:$A$11)^0)&gt;0)*1)</f>
        <v>1</v>
      </c>
      <c r="D185" s="4" cm="1">
        <f t="array" ref="D185">SUM((MMULT(ISNUMBER(SEARCH(TRANSPOSE(category!$B$2:$B$25), A185))*1, ROW(category!$B$2:$B$25)^0)&gt;0)*1)</f>
        <v>1</v>
      </c>
      <c r="E185" s="4" cm="1">
        <f t="array" ref="E185">SUM((MMULT(ISNUMBER(SEARCH(TRANSPOSE(category!$C$2:$C$4), A185))*1, ROW(category!$C$2:$C$4)^0)&gt;0)*1)</f>
        <v>0</v>
      </c>
      <c r="F185" s="4" cm="1">
        <f t="array" ref="F185">SUM((MMULT(ISNUMBER(SEARCH(TRANSPOSE(category!$D$2:$D$10), A185))*1, ROW(category!$D$2:$D$10)^0)&gt;0)*1)</f>
        <v>1</v>
      </c>
      <c r="G185" s="4" cm="1">
        <f t="array" ref="G185">SUM((MMULT(ISNUMBER(SEARCH(TRANSPOSE(category!$E$2:$E$8), A185))*1, ROW(category!$E$2:$E$8)^0)&gt;0)*1)</f>
        <v>0</v>
      </c>
      <c r="H185" s="4" cm="1">
        <f t="array" ref="H185">SUM((MMULT(ISNUMBER(SEARCH(TRANSPOSE(category!$F$2:$F$9), A185))*1, ROW(category!$F$2:$F$9)^0)&gt;0)*1)</f>
        <v>1</v>
      </c>
    </row>
    <row r="186" spans="1:8" x14ac:dyDescent="0.45">
      <c r="A186" t="s">
        <v>399</v>
      </c>
      <c r="B186" s="6">
        <f t="shared" si="2"/>
        <v>32</v>
      </c>
      <c r="C186" s="4" cm="1">
        <f t="array" ref="C186">SUM((MMULT(ISNUMBER(SEARCH(TRANSPOSE(category!$A$2:$A$11), A186))*1, ROW(category!$A$2:$A$11)^0)&gt;0)*1)</f>
        <v>1</v>
      </c>
      <c r="D186" s="4" cm="1">
        <f t="array" ref="D186">SUM((MMULT(ISNUMBER(SEARCH(TRANSPOSE(category!$B$2:$B$25), A186))*1, ROW(category!$B$2:$B$25)^0)&gt;0)*1)</f>
        <v>0</v>
      </c>
      <c r="E186" s="4" cm="1">
        <f t="array" ref="E186">SUM((MMULT(ISNUMBER(SEARCH(TRANSPOSE(category!$C$2:$C$4), A186))*1, ROW(category!$C$2:$C$4)^0)&gt;0)*1)</f>
        <v>0</v>
      </c>
      <c r="F186" s="4" cm="1">
        <f t="array" ref="F186">SUM((MMULT(ISNUMBER(SEARCH(TRANSPOSE(category!$D$2:$D$10), A186))*1, ROW(category!$D$2:$D$10)^0)&gt;0)*1)</f>
        <v>1</v>
      </c>
      <c r="G186" s="4" cm="1">
        <f t="array" ref="G186">SUM((MMULT(ISNUMBER(SEARCH(TRANSPOSE(category!$E$2:$E$8), A186))*1, ROW(category!$E$2:$E$8)^0)&gt;0)*1)</f>
        <v>0</v>
      </c>
      <c r="H186" s="4" cm="1">
        <f t="array" ref="H186">SUM((MMULT(ISNUMBER(SEARCH(TRANSPOSE(category!$F$2:$F$9), A186))*1, ROW(category!$F$2:$F$9)^0)&gt;0)*1)</f>
        <v>0</v>
      </c>
    </row>
    <row r="187" spans="1:8" x14ac:dyDescent="0.45">
      <c r="A187" t="s">
        <v>401</v>
      </c>
      <c r="B187" s="6">
        <f t="shared" si="2"/>
        <v>26</v>
      </c>
      <c r="C187" s="4" cm="1">
        <f t="array" ref="C187">SUM((MMULT(ISNUMBER(SEARCH(TRANSPOSE(category!$A$2:$A$11), A187))*1, ROW(category!$A$2:$A$11)^0)&gt;0)*1)</f>
        <v>0</v>
      </c>
      <c r="D187" s="4" cm="1">
        <f t="array" ref="D187">SUM((MMULT(ISNUMBER(SEARCH(TRANSPOSE(category!$B$2:$B$25), A187))*1, ROW(category!$B$2:$B$25)^0)&gt;0)*1)</f>
        <v>0</v>
      </c>
      <c r="E187" s="4" cm="1">
        <f t="array" ref="E187">SUM((MMULT(ISNUMBER(SEARCH(TRANSPOSE(category!$C$2:$C$4), A187))*1, ROW(category!$C$2:$C$4)^0)&gt;0)*1)</f>
        <v>0</v>
      </c>
      <c r="F187" s="4" cm="1">
        <f t="array" ref="F187">SUM((MMULT(ISNUMBER(SEARCH(TRANSPOSE(category!$D$2:$D$10), A187))*1, ROW(category!$D$2:$D$10)^0)&gt;0)*1)</f>
        <v>0</v>
      </c>
      <c r="G187" s="4" cm="1">
        <f t="array" ref="G187">SUM((MMULT(ISNUMBER(SEARCH(TRANSPOSE(category!$E$2:$E$8), A187))*1, ROW(category!$E$2:$E$8)^0)&gt;0)*1)</f>
        <v>0</v>
      </c>
      <c r="H187" s="4" cm="1">
        <f t="array" ref="H187">SUM((MMULT(ISNUMBER(SEARCH(TRANSPOSE(category!$F$2:$F$9), A187))*1, ROW(category!$F$2:$F$9)^0)&gt;0)*1)</f>
        <v>0</v>
      </c>
    </row>
    <row r="188" spans="1:8" x14ac:dyDescent="0.45">
      <c r="A188" t="s">
        <v>403</v>
      </c>
      <c r="B188" s="6">
        <f t="shared" si="2"/>
        <v>8</v>
      </c>
      <c r="C188" s="4" cm="1">
        <f t="array" ref="C188">SUM((MMULT(ISNUMBER(SEARCH(TRANSPOSE(category!$A$2:$A$11), A188))*1, ROW(category!$A$2:$A$11)^0)&gt;0)*1)</f>
        <v>1</v>
      </c>
      <c r="D188" s="4" cm="1">
        <f t="array" ref="D188">SUM((MMULT(ISNUMBER(SEARCH(TRANSPOSE(category!$B$2:$B$25), A188))*1, ROW(category!$B$2:$B$25)^0)&gt;0)*1)</f>
        <v>1</v>
      </c>
      <c r="E188" s="4" cm="1">
        <f t="array" ref="E188">SUM((MMULT(ISNUMBER(SEARCH(TRANSPOSE(category!$C$2:$C$4), A188))*1, ROW(category!$C$2:$C$4)^0)&gt;0)*1)</f>
        <v>0</v>
      </c>
      <c r="F188" s="4" cm="1">
        <f t="array" ref="F188">SUM((MMULT(ISNUMBER(SEARCH(TRANSPOSE(category!$D$2:$D$10), A188))*1, ROW(category!$D$2:$D$10)^0)&gt;0)*1)</f>
        <v>1</v>
      </c>
      <c r="G188" s="4" cm="1">
        <f t="array" ref="G188">SUM((MMULT(ISNUMBER(SEARCH(TRANSPOSE(category!$E$2:$E$8), A188))*1, ROW(category!$E$2:$E$8)^0)&gt;0)*1)</f>
        <v>0</v>
      </c>
      <c r="H188" s="4" cm="1">
        <f t="array" ref="H188">SUM((MMULT(ISNUMBER(SEARCH(TRANSPOSE(category!$F$2:$F$9), A188))*1, ROW(category!$F$2:$F$9)^0)&gt;0)*1)</f>
        <v>0</v>
      </c>
    </row>
    <row r="189" spans="1:8" x14ac:dyDescent="0.45">
      <c r="A189" t="s">
        <v>405</v>
      </c>
      <c r="B189" s="6">
        <f t="shared" si="2"/>
        <v>91</v>
      </c>
      <c r="C189" s="4" cm="1">
        <f t="array" ref="C189">SUM((MMULT(ISNUMBER(SEARCH(TRANSPOSE(category!$A$2:$A$11), A189))*1, ROW(category!$A$2:$A$11)^0)&gt;0)*1)</f>
        <v>0</v>
      </c>
      <c r="D189" s="4" cm="1">
        <f t="array" ref="D189">SUM((MMULT(ISNUMBER(SEARCH(TRANSPOSE(category!$B$2:$B$25), A189))*1, ROW(category!$B$2:$B$25)^0)&gt;0)*1)</f>
        <v>1</v>
      </c>
      <c r="E189" s="4" cm="1">
        <f t="array" ref="E189">SUM((MMULT(ISNUMBER(SEARCH(TRANSPOSE(category!$C$2:$C$4), A189))*1, ROW(category!$C$2:$C$4)^0)&gt;0)*1)</f>
        <v>0</v>
      </c>
      <c r="F189" s="4" cm="1">
        <f t="array" ref="F189">SUM((MMULT(ISNUMBER(SEARCH(TRANSPOSE(category!$D$2:$D$10), A189))*1, ROW(category!$D$2:$D$10)^0)&gt;0)*1)</f>
        <v>1</v>
      </c>
      <c r="G189" s="4" cm="1">
        <f t="array" ref="G189">SUM((MMULT(ISNUMBER(SEARCH(TRANSPOSE(category!$E$2:$E$8), A189))*1, ROW(category!$E$2:$E$8)^0)&gt;0)*1)</f>
        <v>0</v>
      </c>
      <c r="H189" s="4" cm="1">
        <f t="array" ref="H189">SUM((MMULT(ISNUMBER(SEARCH(TRANSPOSE(category!$F$2:$F$9), A189))*1, ROW(category!$F$2:$F$9)^0)&gt;0)*1)</f>
        <v>1</v>
      </c>
    </row>
    <row r="190" spans="1:8" x14ac:dyDescent="0.45">
      <c r="A190" t="s">
        <v>407</v>
      </c>
      <c r="B190" s="6">
        <f t="shared" si="2"/>
        <v>26</v>
      </c>
      <c r="C190" s="4" cm="1">
        <f t="array" ref="C190">SUM((MMULT(ISNUMBER(SEARCH(TRANSPOSE(category!$A$2:$A$11), A190))*1, ROW(category!$A$2:$A$11)^0)&gt;0)*1)</f>
        <v>0</v>
      </c>
      <c r="D190" s="4" cm="1">
        <f t="array" ref="D190">SUM((MMULT(ISNUMBER(SEARCH(TRANSPOSE(category!$B$2:$B$25), A190))*1, ROW(category!$B$2:$B$25)^0)&gt;0)*1)</f>
        <v>1</v>
      </c>
      <c r="E190" s="4" cm="1">
        <f t="array" ref="E190">SUM((MMULT(ISNUMBER(SEARCH(TRANSPOSE(category!$C$2:$C$4), A190))*1, ROW(category!$C$2:$C$4)^0)&gt;0)*1)</f>
        <v>0</v>
      </c>
      <c r="F190" s="4" cm="1">
        <f t="array" ref="F190">SUM((MMULT(ISNUMBER(SEARCH(TRANSPOSE(category!$D$2:$D$10), A190))*1, ROW(category!$D$2:$D$10)^0)&gt;0)*1)</f>
        <v>0</v>
      </c>
      <c r="G190" s="4" cm="1">
        <f t="array" ref="G190">SUM((MMULT(ISNUMBER(SEARCH(TRANSPOSE(category!$E$2:$E$8), A190))*1, ROW(category!$E$2:$E$8)^0)&gt;0)*1)</f>
        <v>0</v>
      </c>
      <c r="H190" s="4" cm="1">
        <f t="array" ref="H190">SUM((MMULT(ISNUMBER(SEARCH(TRANSPOSE(category!$F$2:$F$9), A190))*1, ROW(category!$F$2:$F$9)^0)&gt;0)*1)</f>
        <v>0</v>
      </c>
    </row>
    <row r="191" spans="1:8" x14ac:dyDescent="0.45">
      <c r="A191" t="s">
        <v>409</v>
      </c>
      <c r="B191" s="6">
        <f t="shared" si="2"/>
        <v>24</v>
      </c>
      <c r="C191" s="4" cm="1">
        <f t="array" ref="C191">SUM((MMULT(ISNUMBER(SEARCH(TRANSPOSE(category!$A$2:$A$11), A191))*1, ROW(category!$A$2:$A$11)^0)&gt;0)*1)</f>
        <v>1</v>
      </c>
      <c r="D191" s="4" cm="1">
        <f t="array" ref="D191">SUM((MMULT(ISNUMBER(SEARCH(TRANSPOSE(category!$B$2:$B$25), A191))*1, ROW(category!$B$2:$B$25)^0)&gt;0)*1)</f>
        <v>1</v>
      </c>
      <c r="E191" s="4" cm="1">
        <f t="array" ref="E191">SUM((MMULT(ISNUMBER(SEARCH(TRANSPOSE(category!$C$2:$C$4), A191))*1, ROW(category!$C$2:$C$4)^0)&gt;0)*1)</f>
        <v>0</v>
      </c>
      <c r="F191" s="4" cm="1">
        <f t="array" ref="F191">SUM((MMULT(ISNUMBER(SEARCH(TRANSPOSE(category!$D$2:$D$10), A191))*1, ROW(category!$D$2:$D$10)^0)&gt;0)*1)</f>
        <v>1</v>
      </c>
      <c r="G191" s="4" cm="1">
        <f t="array" ref="G191">SUM((MMULT(ISNUMBER(SEARCH(TRANSPOSE(category!$E$2:$E$8), A191))*1, ROW(category!$E$2:$E$8)^0)&gt;0)*1)</f>
        <v>0</v>
      </c>
      <c r="H191" s="4" cm="1">
        <f t="array" ref="H191">SUM((MMULT(ISNUMBER(SEARCH(TRANSPOSE(category!$F$2:$F$9), A191))*1, ROW(category!$F$2:$F$9)^0)&gt;0)*1)</f>
        <v>0</v>
      </c>
    </row>
    <row r="192" spans="1:8" x14ac:dyDescent="0.45">
      <c r="A192" t="s">
        <v>412</v>
      </c>
      <c r="B192" s="6">
        <f t="shared" si="2"/>
        <v>55</v>
      </c>
      <c r="C192" s="4" cm="1">
        <f t="array" ref="C192">SUM((MMULT(ISNUMBER(SEARCH(TRANSPOSE(category!$A$2:$A$11), A192))*1, ROW(category!$A$2:$A$11)^0)&gt;0)*1)</f>
        <v>0</v>
      </c>
      <c r="D192" s="4" cm="1">
        <f t="array" ref="D192">SUM((MMULT(ISNUMBER(SEARCH(TRANSPOSE(category!$B$2:$B$25), A192))*1, ROW(category!$B$2:$B$25)^0)&gt;0)*1)</f>
        <v>1</v>
      </c>
      <c r="E192" s="4" cm="1">
        <f t="array" ref="E192">SUM((MMULT(ISNUMBER(SEARCH(TRANSPOSE(category!$C$2:$C$4), A192))*1, ROW(category!$C$2:$C$4)^0)&gt;0)*1)</f>
        <v>0</v>
      </c>
      <c r="F192" s="4" cm="1">
        <f t="array" ref="F192">SUM((MMULT(ISNUMBER(SEARCH(TRANSPOSE(category!$D$2:$D$10), A192))*1, ROW(category!$D$2:$D$10)^0)&gt;0)*1)</f>
        <v>0</v>
      </c>
      <c r="G192" s="4" cm="1">
        <f t="array" ref="G192">SUM((MMULT(ISNUMBER(SEARCH(TRANSPOSE(category!$E$2:$E$8), A192))*1, ROW(category!$E$2:$E$8)^0)&gt;0)*1)</f>
        <v>0</v>
      </c>
      <c r="H192" s="4" cm="1">
        <f t="array" ref="H192">SUM((MMULT(ISNUMBER(SEARCH(TRANSPOSE(category!$F$2:$F$9), A192))*1, ROW(category!$F$2:$F$9)^0)&gt;0)*1)</f>
        <v>0</v>
      </c>
    </row>
    <row r="193" spans="1:8" x14ac:dyDescent="0.45">
      <c r="A193" t="s">
        <v>414</v>
      </c>
      <c r="B193" s="6">
        <f t="shared" si="2"/>
        <v>30</v>
      </c>
      <c r="C193" s="4" cm="1">
        <f t="array" ref="C193">SUM((MMULT(ISNUMBER(SEARCH(TRANSPOSE(category!$A$2:$A$11), A193))*1, ROW(category!$A$2:$A$11)^0)&gt;0)*1)</f>
        <v>0</v>
      </c>
      <c r="D193" s="4" cm="1">
        <f t="array" ref="D193">SUM((MMULT(ISNUMBER(SEARCH(TRANSPOSE(category!$B$2:$B$25), A193))*1, ROW(category!$B$2:$B$25)^0)&gt;0)*1)</f>
        <v>1</v>
      </c>
      <c r="E193" s="4" cm="1">
        <f t="array" ref="E193">SUM((MMULT(ISNUMBER(SEARCH(TRANSPOSE(category!$C$2:$C$4), A193))*1, ROW(category!$C$2:$C$4)^0)&gt;0)*1)</f>
        <v>0</v>
      </c>
      <c r="F193" s="4" cm="1">
        <f t="array" ref="F193">SUM((MMULT(ISNUMBER(SEARCH(TRANSPOSE(category!$D$2:$D$10), A193))*1, ROW(category!$D$2:$D$10)^0)&gt;0)*1)</f>
        <v>1</v>
      </c>
      <c r="G193" s="4" cm="1">
        <f t="array" ref="G193">SUM((MMULT(ISNUMBER(SEARCH(TRANSPOSE(category!$E$2:$E$8), A193))*1, ROW(category!$E$2:$E$8)^0)&gt;0)*1)</f>
        <v>0</v>
      </c>
      <c r="H193" s="4" cm="1">
        <f t="array" ref="H193">SUM((MMULT(ISNUMBER(SEARCH(TRANSPOSE(category!$F$2:$F$9), A193))*1, ROW(category!$F$2:$F$9)^0)&gt;0)*1)</f>
        <v>0</v>
      </c>
    </row>
    <row r="194" spans="1:8" x14ac:dyDescent="0.45">
      <c r="A194" t="s">
        <v>416</v>
      </c>
      <c r="B194" s="6">
        <f t="shared" si="2"/>
        <v>11</v>
      </c>
      <c r="C194" s="4" cm="1">
        <f t="array" ref="C194">SUM((MMULT(ISNUMBER(SEARCH(TRANSPOSE(category!$A$2:$A$11), A194))*1, ROW(category!$A$2:$A$11)^0)&gt;0)*1)</f>
        <v>0</v>
      </c>
      <c r="D194" s="4" cm="1">
        <f t="array" ref="D194">SUM((MMULT(ISNUMBER(SEARCH(TRANSPOSE(category!$B$2:$B$25), A194))*1, ROW(category!$B$2:$B$25)^0)&gt;0)*1)</f>
        <v>1</v>
      </c>
      <c r="E194" s="4" cm="1">
        <f t="array" ref="E194">SUM((MMULT(ISNUMBER(SEARCH(TRANSPOSE(category!$C$2:$C$4), A194))*1, ROW(category!$C$2:$C$4)^0)&gt;0)*1)</f>
        <v>1</v>
      </c>
      <c r="F194" s="4" cm="1">
        <f t="array" ref="F194">SUM((MMULT(ISNUMBER(SEARCH(TRANSPOSE(category!$D$2:$D$10), A194))*1, ROW(category!$D$2:$D$10)^0)&gt;0)*1)</f>
        <v>0</v>
      </c>
      <c r="G194" s="4" cm="1">
        <f t="array" ref="G194">SUM((MMULT(ISNUMBER(SEARCH(TRANSPOSE(category!$E$2:$E$8), A194))*1, ROW(category!$E$2:$E$8)^0)&gt;0)*1)</f>
        <v>0</v>
      </c>
      <c r="H194" s="4" cm="1">
        <f t="array" ref="H194">SUM((MMULT(ISNUMBER(SEARCH(TRANSPOSE(category!$F$2:$F$9), A194))*1, ROW(category!$F$2:$F$9)^0)&gt;0)*1)</f>
        <v>0</v>
      </c>
    </row>
    <row r="195" spans="1:8" x14ac:dyDescent="0.45">
      <c r="A195" t="s">
        <v>418</v>
      </c>
      <c r="B195" s="6">
        <f t="shared" ref="B195:B258" si="3">LEN(A195)-LEN(SUBSTITUTE(A195," ",""))+1</f>
        <v>65</v>
      </c>
      <c r="C195" s="4" cm="1">
        <f t="array" ref="C195">SUM((MMULT(ISNUMBER(SEARCH(TRANSPOSE(category!$A$2:$A$11), A195))*1, ROW(category!$A$2:$A$11)^0)&gt;0)*1)</f>
        <v>0</v>
      </c>
      <c r="D195" s="4" cm="1">
        <f t="array" ref="D195">SUM((MMULT(ISNUMBER(SEARCH(TRANSPOSE(category!$B$2:$B$25), A195))*1, ROW(category!$B$2:$B$25)^0)&gt;0)*1)</f>
        <v>1</v>
      </c>
      <c r="E195" s="4" cm="1">
        <f t="array" ref="E195">SUM((MMULT(ISNUMBER(SEARCH(TRANSPOSE(category!$C$2:$C$4), A195))*1, ROW(category!$C$2:$C$4)^0)&gt;0)*1)</f>
        <v>0</v>
      </c>
      <c r="F195" s="4" cm="1">
        <f t="array" ref="F195">SUM((MMULT(ISNUMBER(SEARCH(TRANSPOSE(category!$D$2:$D$10), A195))*1, ROW(category!$D$2:$D$10)^0)&gt;0)*1)</f>
        <v>1</v>
      </c>
      <c r="G195" s="4" cm="1">
        <f t="array" ref="G195">SUM((MMULT(ISNUMBER(SEARCH(TRANSPOSE(category!$E$2:$E$8), A195))*1, ROW(category!$E$2:$E$8)^0)&gt;0)*1)</f>
        <v>0</v>
      </c>
      <c r="H195" s="4" cm="1">
        <f t="array" ref="H195">SUM((MMULT(ISNUMBER(SEARCH(TRANSPOSE(category!$F$2:$F$9), A195))*1, ROW(category!$F$2:$F$9)^0)&gt;0)*1)</f>
        <v>0</v>
      </c>
    </row>
    <row r="196" spans="1:8" x14ac:dyDescent="0.45">
      <c r="A196" t="s">
        <v>420</v>
      </c>
      <c r="B196" s="6">
        <f t="shared" si="3"/>
        <v>23</v>
      </c>
      <c r="C196" s="4" cm="1">
        <f t="array" ref="C196">SUM((MMULT(ISNUMBER(SEARCH(TRANSPOSE(category!$A$2:$A$11), A196))*1, ROW(category!$A$2:$A$11)^0)&gt;0)*1)</f>
        <v>0</v>
      </c>
      <c r="D196" s="4" cm="1">
        <f t="array" ref="D196">SUM((MMULT(ISNUMBER(SEARCH(TRANSPOSE(category!$B$2:$B$25), A196))*1, ROW(category!$B$2:$B$25)^0)&gt;0)*1)</f>
        <v>1</v>
      </c>
      <c r="E196" s="4" cm="1">
        <f t="array" ref="E196">SUM((MMULT(ISNUMBER(SEARCH(TRANSPOSE(category!$C$2:$C$4), A196))*1, ROW(category!$C$2:$C$4)^0)&gt;0)*1)</f>
        <v>1</v>
      </c>
      <c r="F196" s="4" cm="1">
        <f t="array" ref="F196">SUM((MMULT(ISNUMBER(SEARCH(TRANSPOSE(category!$D$2:$D$10), A196))*1, ROW(category!$D$2:$D$10)^0)&gt;0)*1)</f>
        <v>0</v>
      </c>
      <c r="G196" s="4" cm="1">
        <f t="array" ref="G196">SUM((MMULT(ISNUMBER(SEARCH(TRANSPOSE(category!$E$2:$E$8), A196))*1, ROW(category!$E$2:$E$8)^0)&gt;0)*1)</f>
        <v>0</v>
      </c>
      <c r="H196" s="4" cm="1">
        <f t="array" ref="H196">SUM((MMULT(ISNUMBER(SEARCH(TRANSPOSE(category!$F$2:$F$9), A196))*1, ROW(category!$F$2:$F$9)^0)&gt;0)*1)</f>
        <v>0</v>
      </c>
    </row>
    <row r="197" spans="1:8" x14ac:dyDescent="0.45">
      <c r="A197" t="s">
        <v>422</v>
      </c>
      <c r="B197" s="6">
        <f t="shared" si="3"/>
        <v>17</v>
      </c>
      <c r="C197" s="4" cm="1">
        <f t="array" ref="C197">SUM((MMULT(ISNUMBER(SEARCH(TRANSPOSE(category!$A$2:$A$11), A197))*1, ROW(category!$A$2:$A$11)^0)&gt;0)*1)</f>
        <v>0</v>
      </c>
      <c r="D197" s="4" cm="1">
        <f t="array" ref="D197">SUM((MMULT(ISNUMBER(SEARCH(TRANSPOSE(category!$B$2:$B$25), A197))*1, ROW(category!$B$2:$B$25)^0)&gt;0)*1)</f>
        <v>1</v>
      </c>
      <c r="E197" s="4" cm="1">
        <f t="array" ref="E197">SUM((MMULT(ISNUMBER(SEARCH(TRANSPOSE(category!$C$2:$C$4), A197))*1, ROW(category!$C$2:$C$4)^0)&gt;0)*1)</f>
        <v>0</v>
      </c>
      <c r="F197" s="4" cm="1">
        <f t="array" ref="F197">SUM((MMULT(ISNUMBER(SEARCH(TRANSPOSE(category!$D$2:$D$10), A197))*1, ROW(category!$D$2:$D$10)^0)&gt;0)*1)</f>
        <v>0</v>
      </c>
      <c r="G197" s="4" cm="1">
        <f t="array" ref="G197">SUM((MMULT(ISNUMBER(SEARCH(TRANSPOSE(category!$E$2:$E$8), A197))*1, ROW(category!$E$2:$E$8)^0)&gt;0)*1)</f>
        <v>0</v>
      </c>
      <c r="H197" s="4" cm="1">
        <f t="array" ref="H197">SUM((MMULT(ISNUMBER(SEARCH(TRANSPOSE(category!$F$2:$F$9), A197))*1, ROW(category!$F$2:$F$9)^0)&gt;0)*1)</f>
        <v>0</v>
      </c>
    </row>
    <row r="198" spans="1:8" x14ac:dyDescent="0.45">
      <c r="A198" t="s">
        <v>424</v>
      </c>
      <c r="B198" s="6">
        <f t="shared" si="3"/>
        <v>25</v>
      </c>
      <c r="C198" s="4" cm="1">
        <f t="array" ref="C198">SUM((MMULT(ISNUMBER(SEARCH(TRANSPOSE(category!$A$2:$A$11), A198))*1, ROW(category!$A$2:$A$11)^0)&gt;0)*1)</f>
        <v>1</v>
      </c>
      <c r="D198" s="4" cm="1">
        <f t="array" ref="D198">SUM((MMULT(ISNUMBER(SEARCH(TRANSPOSE(category!$B$2:$B$25), A198))*1, ROW(category!$B$2:$B$25)^0)&gt;0)*1)</f>
        <v>1</v>
      </c>
      <c r="E198" s="4" cm="1">
        <f t="array" ref="E198">SUM((MMULT(ISNUMBER(SEARCH(TRANSPOSE(category!$C$2:$C$4), A198))*1, ROW(category!$C$2:$C$4)^0)&gt;0)*1)</f>
        <v>0</v>
      </c>
      <c r="F198" s="4" cm="1">
        <f t="array" ref="F198">SUM((MMULT(ISNUMBER(SEARCH(TRANSPOSE(category!$D$2:$D$10), A198))*1, ROW(category!$D$2:$D$10)^0)&gt;0)*1)</f>
        <v>1</v>
      </c>
      <c r="G198" s="4" cm="1">
        <f t="array" ref="G198">SUM((MMULT(ISNUMBER(SEARCH(TRANSPOSE(category!$E$2:$E$8), A198))*1, ROW(category!$E$2:$E$8)^0)&gt;0)*1)</f>
        <v>0</v>
      </c>
      <c r="H198" s="4" cm="1">
        <f t="array" ref="H198">SUM((MMULT(ISNUMBER(SEARCH(TRANSPOSE(category!$F$2:$F$9), A198))*1, ROW(category!$F$2:$F$9)^0)&gt;0)*1)</f>
        <v>0</v>
      </c>
    </row>
    <row r="199" spans="1:8" x14ac:dyDescent="0.45">
      <c r="A199" t="s">
        <v>426</v>
      </c>
      <c r="B199" s="6">
        <f t="shared" si="3"/>
        <v>35</v>
      </c>
      <c r="C199" s="4" cm="1">
        <f t="array" ref="C199">SUM((MMULT(ISNUMBER(SEARCH(TRANSPOSE(category!$A$2:$A$11), A199))*1, ROW(category!$A$2:$A$11)^0)&gt;0)*1)</f>
        <v>0</v>
      </c>
      <c r="D199" s="4" cm="1">
        <f t="array" ref="D199">SUM((MMULT(ISNUMBER(SEARCH(TRANSPOSE(category!$B$2:$B$25), A199))*1, ROW(category!$B$2:$B$25)^0)&gt;0)*1)</f>
        <v>1</v>
      </c>
      <c r="E199" s="4" cm="1">
        <f t="array" ref="E199">SUM((MMULT(ISNUMBER(SEARCH(TRANSPOSE(category!$C$2:$C$4), A199))*1, ROW(category!$C$2:$C$4)^0)&gt;0)*1)</f>
        <v>0</v>
      </c>
      <c r="F199" s="4" cm="1">
        <f t="array" ref="F199">SUM((MMULT(ISNUMBER(SEARCH(TRANSPOSE(category!$D$2:$D$10), A199))*1, ROW(category!$D$2:$D$10)^0)&gt;0)*1)</f>
        <v>0</v>
      </c>
      <c r="G199" s="4" cm="1">
        <f t="array" ref="G199">SUM((MMULT(ISNUMBER(SEARCH(TRANSPOSE(category!$E$2:$E$8), A199))*1, ROW(category!$E$2:$E$8)^0)&gt;0)*1)</f>
        <v>0</v>
      </c>
      <c r="H199" s="4" cm="1">
        <f t="array" ref="H199">SUM((MMULT(ISNUMBER(SEARCH(TRANSPOSE(category!$F$2:$F$9), A199))*1, ROW(category!$F$2:$F$9)^0)&gt;0)*1)</f>
        <v>0</v>
      </c>
    </row>
    <row r="200" spans="1:8" x14ac:dyDescent="0.45">
      <c r="A200" t="s">
        <v>428</v>
      </c>
      <c r="B200" s="6">
        <f t="shared" si="3"/>
        <v>26</v>
      </c>
      <c r="C200" s="4" cm="1">
        <f t="array" ref="C200">SUM((MMULT(ISNUMBER(SEARCH(TRANSPOSE(category!$A$2:$A$11), A200))*1, ROW(category!$A$2:$A$11)^0)&gt;0)*1)</f>
        <v>0</v>
      </c>
      <c r="D200" s="4" cm="1">
        <f t="array" ref="D200">SUM((MMULT(ISNUMBER(SEARCH(TRANSPOSE(category!$B$2:$B$25), A200))*1, ROW(category!$B$2:$B$25)^0)&gt;0)*1)</f>
        <v>0</v>
      </c>
      <c r="E200" s="4" cm="1">
        <f t="array" ref="E200">SUM((MMULT(ISNUMBER(SEARCH(TRANSPOSE(category!$C$2:$C$4), A200))*1, ROW(category!$C$2:$C$4)^0)&gt;0)*1)</f>
        <v>0</v>
      </c>
      <c r="F200" s="4" cm="1">
        <f t="array" ref="F200">SUM((MMULT(ISNUMBER(SEARCH(TRANSPOSE(category!$D$2:$D$10), A200))*1, ROW(category!$D$2:$D$10)^0)&gt;0)*1)</f>
        <v>0</v>
      </c>
      <c r="G200" s="4" cm="1">
        <f t="array" ref="G200">SUM((MMULT(ISNUMBER(SEARCH(TRANSPOSE(category!$E$2:$E$8), A200))*1, ROW(category!$E$2:$E$8)^0)&gt;0)*1)</f>
        <v>0</v>
      </c>
      <c r="H200" s="4" cm="1">
        <f t="array" ref="H200">SUM((MMULT(ISNUMBER(SEARCH(TRANSPOSE(category!$F$2:$F$9), A200))*1, ROW(category!$F$2:$F$9)^0)&gt;0)*1)</f>
        <v>0</v>
      </c>
    </row>
    <row r="201" spans="1:8" x14ac:dyDescent="0.45">
      <c r="A201" t="s">
        <v>430</v>
      </c>
      <c r="B201" s="6">
        <f t="shared" si="3"/>
        <v>63</v>
      </c>
      <c r="C201" s="4" cm="1">
        <f t="array" ref="C201">SUM((MMULT(ISNUMBER(SEARCH(TRANSPOSE(category!$A$2:$A$11), A201))*1, ROW(category!$A$2:$A$11)^0)&gt;0)*1)</f>
        <v>0</v>
      </c>
      <c r="D201" s="4" cm="1">
        <f t="array" ref="D201">SUM((MMULT(ISNUMBER(SEARCH(TRANSPOSE(category!$B$2:$B$25), A201))*1, ROW(category!$B$2:$B$25)^0)&gt;0)*1)</f>
        <v>1</v>
      </c>
      <c r="E201" s="4" cm="1">
        <f t="array" ref="E201">SUM((MMULT(ISNUMBER(SEARCH(TRANSPOSE(category!$C$2:$C$4), A201))*1, ROW(category!$C$2:$C$4)^0)&gt;0)*1)</f>
        <v>0</v>
      </c>
      <c r="F201" s="4" cm="1">
        <f t="array" ref="F201">SUM((MMULT(ISNUMBER(SEARCH(TRANSPOSE(category!$D$2:$D$10), A201))*1, ROW(category!$D$2:$D$10)^0)&gt;0)*1)</f>
        <v>1</v>
      </c>
      <c r="G201" s="4" cm="1">
        <f t="array" ref="G201">SUM((MMULT(ISNUMBER(SEARCH(TRANSPOSE(category!$E$2:$E$8), A201))*1, ROW(category!$E$2:$E$8)^0)&gt;0)*1)</f>
        <v>0</v>
      </c>
      <c r="H201" s="4" cm="1">
        <f t="array" ref="H201">SUM((MMULT(ISNUMBER(SEARCH(TRANSPOSE(category!$F$2:$F$9), A201))*1, ROW(category!$F$2:$F$9)^0)&gt;0)*1)</f>
        <v>1</v>
      </c>
    </row>
    <row r="202" spans="1:8" x14ac:dyDescent="0.45">
      <c r="A202" t="s">
        <v>432</v>
      </c>
      <c r="B202" s="6">
        <f t="shared" si="3"/>
        <v>70</v>
      </c>
      <c r="C202" s="4" cm="1">
        <f t="array" ref="C202">SUM((MMULT(ISNUMBER(SEARCH(TRANSPOSE(category!$A$2:$A$11), A202))*1, ROW(category!$A$2:$A$11)^0)&gt;0)*1)</f>
        <v>1</v>
      </c>
      <c r="D202" s="4" cm="1">
        <f t="array" ref="D202">SUM((MMULT(ISNUMBER(SEARCH(TRANSPOSE(category!$B$2:$B$25), A202))*1, ROW(category!$B$2:$B$25)^0)&gt;0)*1)</f>
        <v>1</v>
      </c>
      <c r="E202" s="4" cm="1">
        <f t="array" ref="E202">SUM((MMULT(ISNUMBER(SEARCH(TRANSPOSE(category!$C$2:$C$4), A202))*1, ROW(category!$C$2:$C$4)^0)&gt;0)*1)</f>
        <v>0</v>
      </c>
      <c r="F202" s="4" cm="1">
        <f t="array" ref="F202">SUM((MMULT(ISNUMBER(SEARCH(TRANSPOSE(category!$D$2:$D$10), A202))*1, ROW(category!$D$2:$D$10)^0)&gt;0)*1)</f>
        <v>0</v>
      </c>
      <c r="G202" s="4" cm="1">
        <f t="array" ref="G202">SUM((MMULT(ISNUMBER(SEARCH(TRANSPOSE(category!$E$2:$E$8), A202))*1, ROW(category!$E$2:$E$8)^0)&gt;0)*1)</f>
        <v>0</v>
      </c>
      <c r="H202" s="4" cm="1">
        <f t="array" ref="H202">SUM((MMULT(ISNUMBER(SEARCH(TRANSPOSE(category!$F$2:$F$9), A202))*1, ROW(category!$F$2:$F$9)^0)&gt;0)*1)</f>
        <v>0</v>
      </c>
    </row>
    <row r="203" spans="1:8" x14ac:dyDescent="0.45">
      <c r="A203" t="s">
        <v>434</v>
      </c>
      <c r="B203" s="6">
        <f t="shared" si="3"/>
        <v>40</v>
      </c>
      <c r="C203" s="4" cm="1">
        <f t="array" ref="C203">SUM((MMULT(ISNUMBER(SEARCH(TRANSPOSE(category!$A$2:$A$11), A203))*1, ROW(category!$A$2:$A$11)^0)&gt;0)*1)</f>
        <v>1</v>
      </c>
      <c r="D203" s="4" cm="1">
        <f t="array" ref="D203">SUM((MMULT(ISNUMBER(SEARCH(TRANSPOSE(category!$B$2:$B$25), A203))*1, ROW(category!$B$2:$B$25)^0)&gt;0)*1)</f>
        <v>1</v>
      </c>
      <c r="E203" s="4" cm="1">
        <f t="array" ref="E203">SUM((MMULT(ISNUMBER(SEARCH(TRANSPOSE(category!$C$2:$C$4), A203))*1, ROW(category!$C$2:$C$4)^0)&gt;0)*1)</f>
        <v>0</v>
      </c>
      <c r="F203" s="4" cm="1">
        <f t="array" ref="F203">SUM((MMULT(ISNUMBER(SEARCH(TRANSPOSE(category!$D$2:$D$10), A203))*1, ROW(category!$D$2:$D$10)^0)&gt;0)*1)</f>
        <v>1</v>
      </c>
      <c r="G203" s="4" cm="1">
        <f t="array" ref="G203">SUM((MMULT(ISNUMBER(SEARCH(TRANSPOSE(category!$E$2:$E$8), A203))*1, ROW(category!$E$2:$E$8)^0)&gt;0)*1)</f>
        <v>0</v>
      </c>
      <c r="H203" s="4" cm="1">
        <f t="array" ref="H203">SUM((MMULT(ISNUMBER(SEARCH(TRANSPOSE(category!$F$2:$F$9), A203))*1, ROW(category!$F$2:$F$9)^0)&gt;0)*1)</f>
        <v>0</v>
      </c>
    </row>
    <row r="204" spans="1:8" x14ac:dyDescent="0.45">
      <c r="A204" t="s">
        <v>436</v>
      </c>
      <c r="B204" s="6">
        <f t="shared" si="3"/>
        <v>25</v>
      </c>
      <c r="C204" s="4" cm="1">
        <f t="array" ref="C204">SUM((MMULT(ISNUMBER(SEARCH(TRANSPOSE(category!$A$2:$A$11), A204))*1, ROW(category!$A$2:$A$11)^0)&gt;0)*1)</f>
        <v>0</v>
      </c>
      <c r="D204" s="4" cm="1">
        <f t="array" ref="D204">SUM((MMULT(ISNUMBER(SEARCH(TRANSPOSE(category!$B$2:$B$25), A204))*1, ROW(category!$B$2:$B$25)^0)&gt;0)*1)</f>
        <v>1</v>
      </c>
      <c r="E204" s="4" cm="1">
        <f t="array" ref="E204">SUM((MMULT(ISNUMBER(SEARCH(TRANSPOSE(category!$C$2:$C$4), A204))*1, ROW(category!$C$2:$C$4)^0)&gt;0)*1)</f>
        <v>0</v>
      </c>
      <c r="F204" s="4" cm="1">
        <f t="array" ref="F204">SUM((MMULT(ISNUMBER(SEARCH(TRANSPOSE(category!$D$2:$D$10), A204))*1, ROW(category!$D$2:$D$10)^0)&gt;0)*1)</f>
        <v>1</v>
      </c>
      <c r="G204" s="4" cm="1">
        <f t="array" ref="G204">SUM((MMULT(ISNUMBER(SEARCH(TRANSPOSE(category!$E$2:$E$8), A204))*1, ROW(category!$E$2:$E$8)^0)&gt;0)*1)</f>
        <v>0</v>
      </c>
      <c r="H204" s="4" cm="1">
        <f t="array" ref="H204">SUM((MMULT(ISNUMBER(SEARCH(TRANSPOSE(category!$F$2:$F$9), A204))*1, ROW(category!$F$2:$F$9)^0)&gt;0)*1)</f>
        <v>0</v>
      </c>
    </row>
    <row r="205" spans="1:8" x14ac:dyDescent="0.45">
      <c r="A205" t="s">
        <v>438</v>
      </c>
      <c r="B205" s="6">
        <f t="shared" si="3"/>
        <v>59</v>
      </c>
      <c r="C205" s="4" cm="1">
        <f t="array" ref="C205">SUM((MMULT(ISNUMBER(SEARCH(TRANSPOSE(category!$A$2:$A$11), A205))*1, ROW(category!$A$2:$A$11)^0)&gt;0)*1)</f>
        <v>0</v>
      </c>
      <c r="D205" s="4" cm="1">
        <f t="array" ref="D205">SUM((MMULT(ISNUMBER(SEARCH(TRANSPOSE(category!$B$2:$B$25), A205))*1, ROW(category!$B$2:$B$25)^0)&gt;0)*1)</f>
        <v>1</v>
      </c>
      <c r="E205" s="4" cm="1">
        <f t="array" ref="E205">SUM((MMULT(ISNUMBER(SEARCH(TRANSPOSE(category!$C$2:$C$4), A205))*1, ROW(category!$C$2:$C$4)^0)&gt;0)*1)</f>
        <v>1</v>
      </c>
      <c r="F205" s="4" cm="1">
        <f t="array" ref="F205">SUM((MMULT(ISNUMBER(SEARCH(TRANSPOSE(category!$D$2:$D$10), A205))*1, ROW(category!$D$2:$D$10)^0)&gt;0)*1)</f>
        <v>1</v>
      </c>
      <c r="G205" s="4" cm="1">
        <f t="array" ref="G205">SUM((MMULT(ISNUMBER(SEARCH(TRANSPOSE(category!$E$2:$E$8), A205))*1, ROW(category!$E$2:$E$8)^0)&gt;0)*1)</f>
        <v>0</v>
      </c>
      <c r="H205" s="4" cm="1">
        <f t="array" ref="H205">SUM((MMULT(ISNUMBER(SEARCH(TRANSPOSE(category!$F$2:$F$9), A205))*1, ROW(category!$F$2:$F$9)^0)&gt;0)*1)</f>
        <v>0</v>
      </c>
    </row>
    <row r="206" spans="1:8" x14ac:dyDescent="0.45">
      <c r="A206" t="s">
        <v>440</v>
      </c>
      <c r="B206" s="6">
        <f t="shared" si="3"/>
        <v>13</v>
      </c>
      <c r="C206" s="4" cm="1">
        <f t="array" ref="C206">SUM((MMULT(ISNUMBER(SEARCH(TRANSPOSE(category!$A$2:$A$11), A206))*1, ROW(category!$A$2:$A$11)^0)&gt;0)*1)</f>
        <v>0</v>
      </c>
      <c r="D206" s="4" cm="1">
        <f t="array" ref="D206">SUM((MMULT(ISNUMBER(SEARCH(TRANSPOSE(category!$B$2:$B$25), A206))*1, ROW(category!$B$2:$B$25)^0)&gt;0)*1)</f>
        <v>1</v>
      </c>
      <c r="E206" s="4" cm="1">
        <f t="array" ref="E206">SUM((MMULT(ISNUMBER(SEARCH(TRANSPOSE(category!$C$2:$C$4), A206))*1, ROW(category!$C$2:$C$4)^0)&gt;0)*1)</f>
        <v>0</v>
      </c>
      <c r="F206" s="4" cm="1">
        <f t="array" ref="F206">SUM((MMULT(ISNUMBER(SEARCH(TRANSPOSE(category!$D$2:$D$10), A206))*1, ROW(category!$D$2:$D$10)^0)&gt;0)*1)</f>
        <v>1</v>
      </c>
      <c r="G206" s="4" cm="1">
        <f t="array" ref="G206">SUM((MMULT(ISNUMBER(SEARCH(TRANSPOSE(category!$E$2:$E$8), A206))*1, ROW(category!$E$2:$E$8)^0)&gt;0)*1)</f>
        <v>0</v>
      </c>
      <c r="H206" s="4" cm="1">
        <f t="array" ref="H206">SUM((MMULT(ISNUMBER(SEARCH(TRANSPOSE(category!$F$2:$F$9), A206))*1, ROW(category!$F$2:$F$9)^0)&gt;0)*1)</f>
        <v>0</v>
      </c>
    </row>
    <row r="207" spans="1:8" x14ac:dyDescent="0.45">
      <c r="A207" t="s">
        <v>442</v>
      </c>
      <c r="B207" s="6">
        <f t="shared" si="3"/>
        <v>38</v>
      </c>
      <c r="C207" s="4" cm="1">
        <f t="array" ref="C207">SUM((MMULT(ISNUMBER(SEARCH(TRANSPOSE(category!$A$2:$A$11), A207))*1, ROW(category!$A$2:$A$11)^0)&gt;0)*1)</f>
        <v>1</v>
      </c>
      <c r="D207" s="4" cm="1">
        <f t="array" ref="D207">SUM((MMULT(ISNUMBER(SEARCH(TRANSPOSE(category!$B$2:$B$25), A207))*1, ROW(category!$B$2:$B$25)^0)&gt;0)*1)</f>
        <v>1</v>
      </c>
      <c r="E207" s="4" cm="1">
        <f t="array" ref="E207">SUM((MMULT(ISNUMBER(SEARCH(TRANSPOSE(category!$C$2:$C$4), A207))*1, ROW(category!$C$2:$C$4)^0)&gt;0)*1)</f>
        <v>1</v>
      </c>
      <c r="F207" s="4" cm="1">
        <f t="array" ref="F207">SUM((MMULT(ISNUMBER(SEARCH(TRANSPOSE(category!$D$2:$D$10), A207))*1, ROW(category!$D$2:$D$10)^0)&gt;0)*1)</f>
        <v>0</v>
      </c>
      <c r="G207" s="4" cm="1">
        <f t="array" ref="G207">SUM((MMULT(ISNUMBER(SEARCH(TRANSPOSE(category!$E$2:$E$8), A207))*1, ROW(category!$E$2:$E$8)^0)&gt;0)*1)</f>
        <v>0</v>
      </c>
      <c r="H207" s="4" cm="1">
        <f t="array" ref="H207">SUM((MMULT(ISNUMBER(SEARCH(TRANSPOSE(category!$F$2:$F$9), A207))*1, ROW(category!$F$2:$F$9)^0)&gt;0)*1)</f>
        <v>0</v>
      </c>
    </row>
    <row r="208" spans="1:8" x14ac:dyDescent="0.45">
      <c r="A208" t="s">
        <v>444</v>
      </c>
      <c r="B208" s="6">
        <f t="shared" si="3"/>
        <v>21</v>
      </c>
      <c r="C208" s="4" cm="1">
        <f t="array" ref="C208">SUM((MMULT(ISNUMBER(SEARCH(TRANSPOSE(category!$A$2:$A$11), A208))*1, ROW(category!$A$2:$A$11)^0)&gt;0)*1)</f>
        <v>0</v>
      </c>
      <c r="D208" s="4" cm="1">
        <f t="array" ref="D208">SUM((MMULT(ISNUMBER(SEARCH(TRANSPOSE(category!$B$2:$B$25), A208))*1, ROW(category!$B$2:$B$25)^0)&gt;0)*1)</f>
        <v>1</v>
      </c>
      <c r="E208" s="4" cm="1">
        <f t="array" ref="E208">SUM((MMULT(ISNUMBER(SEARCH(TRANSPOSE(category!$C$2:$C$4), A208))*1, ROW(category!$C$2:$C$4)^0)&gt;0)*1)</f>
        <v>0</v>
      </c>
      <c r="F208" s="4" cm="1">
        <f t="array" ref="F208">SUM((MMULT(ISNUMBER(SEARCH(TRANSPOSE(category!$D$2:$D$10), A208))*1, ROW(category!$D$2:$D$10)^0)&gt;0)*1)</f>
        <v>1</v>
      </c>
      <c r="G208" s="4" cm="1">
        <f t="array" ref="G208">SUM((MMULT(ISNUMBER(SEARCH(TRANSPOSE(category!$E$2:$E$8), A208))*1, ROW(category!$E$2:$E$8)^0)&gt;0)*1)</f>
        <v>0</v>
      </c>
      <c r="H208" s="4" cm="1">
        <f t="array" ref="H208">SUM((MMULT(ISNUMBER(SEARCH(TRANSPOSE(category!$F$2:$F$9), A208))*1, ROW(category!$F$2:$F$9)^0)&gt;0)*1)</f>
        <v>0</v>
      </c>
    </row>
    <row r="209" spans="1:8" x14ac:dyDescent="0.45">
      <c r="A209" t="s">
        <v>446</v>
      </c>
      <c r="B209" s="6">
        <f t="shared" si="3"/>
        <v>16</v>
      </c>
      <c r="C209" s="4" cm="1">
        <f t="array" ref="C209">SUM((MMULT(ISNUMBER(SEARCH(TRANSPOSE(category!$A$2:$A$11), A209))*1, ROW(category!$A$2:$A$11)^0)&gt;0)*1)</f>
        <v>0</v>
      </c>
      <c r="D209" s="4" cm="1">
        <f t="array" ref="D209">SUM((MMULT(ISNUMBER(SEARCH(TRANSPOSE(category!$B$2:$B$25), A209))*1, ROW(category!$B$2:$B$25)^0)&gt;0)*1)</f>
        <v>1</v>
      </c>
      <c r="E209" s="4" cm="1">
        <f t="array" ref="E209">SUM((MMULT(ISNUMBER(SEARCH(TRANSPOSE(category!$C$2:$C$4), A209))*1, ROW(category!$C$2:$C$4)^0)&gt;0)*1)</f>
        <v>0</v>
      </c>
      <c r="F209" s="4" cm="1">
        <f t="array" ref="F209">SUM((MMULT(ISNUMBER(SEARCH(TRANSPOSE(category!$D$2:$D$10), A209))*1, ROW(category!$D$2:$D$10)^0)&gt;0)*1)</f>
        <v>0</v>
      </c>
      <c r="G209" s="4" cm="1">
        <f t="array" ref="G209">SUM((MMULT(ISNUMBER(SEARCH(TRANSPOSE(category!$E$2:$E$8), A209))*1, ROW(category!$E$2:$E$8)^0)&gt;0)*1)</f>
        <v>0</v>
      </c>
      <c r="H209" s="4" cm="1">
        <f t="array" ref="H209">SUM((MMULT(ISNUMBER(SEARCH(TRANSPOSE(category!$F$2:$F$9), A209))*1, ROW(category!$F$2:$F$9)^0)&gt;0)*1)</f>
        <v>0</v>
      </c>
    </row>
    <row r="210" spans="1:8" x14ac:dyDescent="0.45">
      <c r="A210" t="s">
        <v>448</v>
      </c>
      <c r="B210" s="6">
        <f t="shared" si="3"/>
        <v>12</v>
      </c>
      <c r="C210" s="4" cm="1">
        <f t="array" ref="C210">SUM((MMULT(ISNUMBER(SEARCH(TRANSPOSE(category!$A$2:$A$11), A210))*1, ROW(category!$A$2:$A$11)^0)&gt;0)*1)</f>
        <v>0</v>
      </c>
      <c r="D210" s="4" cm="1">
        <f t="array" ref="D210">SUM((MMULT(ISNUMBER(SEARCH(TRANSPOSE(category!$B$2:$B$25), A210))*1, ROW(category!$B$2:$B$25)^0)&gt;0)*1)</f>
        <v>1</v>
      </c>
      <c r="E210" s="4" cm="1">
        <f t="array" ref="E210">SUM((MMULT(ISNUMBER(SEARCH(TRANSPOSE(category!$C$2:$C$4), A210))*1, ROW(category!$C$2:$C$4)^0)&gt;0)*1)</f>
        <v>0</v>
      </c>
      <c r="F210" s="4" cm="1">
        <f t="array" ref="F210">SUM((MMULT(ISNUMBER(SEARCH(TRANSPOSE(category!$D$2:$D$10), A210))*1, ROW(category!$D$2:$D$10)^0)&gt;0)*1)</f>
        <v>0</v>
      </c>
      <c r="G210" s="4" cm="1">
        <f t="array" ref="G210">SUM((MMULT(ISNUMBER(SEARCH(TRANSPOSE(category!$E$2:$E$8), A210))*1, ROW(category!$E$2:$E$8)^0)&gt;0)*1)</f>
        <v>0</v>
      </c>
      <c r="H210" s="4" cm="1">
        <f t="array" ref="H210">SUM((MMULT(ISNUMBER(SEARCH(TRANSPOSE(category!$F$2:$F$9), A210))*1, ROW(category!$F$2:$F$9)^0)&gt;0)*1)</f>
        <v>0</v>
      </c>
    </row>
    <row r="211" spans="1:8" x14ac:dyDescent="0.45">
      <c r="A211" t="s">
        <v>450</v>
      </c>
      <c r="B211" s="6">
        <f t="shared" si="3"/>
        <v>98</v>
      </c>
      <c r="C211" s="4" cm="1">
        <f t="array" ref="C211">SUM((MMULT(ISNUMBER(SEARCH(TRANSPOSE(category!$A$2:$A$11), A211))*1, ROW(category!$A$2:$A$11)^0)&gt;0)*1)</f>
        <v>0</v>
      </c>
      <c r="D211" s="4" cm="1">
        <f t="array" ref="D211">SUM((MMULT(ISNUMBER(SEARCH(TRANSPOSE(category!$B$2:$B$25), A211))*1, ROW(category!$B$2:$B$25)^0)&gt;0)*1)</f>
        <v>1</v>
      </c>
      <c r="E211" s="4" cm="1">
        <f t="array" ref="E211">SUM((MMULT(ISNUMBER(SEARCH(TRANSPOSE(category!$C$2:$C$4), A211))*1, ROW(category!$C$2:$C$4)^0)&gt;0)*1)</f>
        <v>0</v>
      </c>
      <c r="F211" s="4" cm="1">
        <f t="array" ref="F211">SUM((MMULT(ISNUMBER(SEARCH(TRANSPOSE(category!$D$2:$D$10), A211))*1, ROW(category!$D$2:$D$10)^0)&gt;0)*1)</f>
        <v>0</v>
      </c>
      <c r="G211" s="4" cm="1">
        <f t="array" ref="G211">SUM((MMULT(ISNUMBER(SEARCH(TRANSPOSE(category!$E$2:$E$8), A211))*1, ROW(category!$E$2:$E$8)^0)&gt;0)*1)</f>
        <v>0</v>
      </c>
      <c r="H211" s="4" cm="1">
        <f t="array" ref="H211">SUM((MMULT(ISNUMBER(SEARCH(TRANSPOSE(category!$F$2:$F$9), A211))*1, ROW(category!$F$2:$F$9)^0)&gt;0)*1)</f>
        <v>0</v>
      </c>
    </row>
    <row r="212" spans="1:8" x14ac:dyDescent="0.45">
      <c r="A212" t="s">
        <v>452</v>
      </c>
      <c r="B212" s="6">
        <f t="shared" si="3"/>
        <v>32</v>
      </c>
      <c r="C212" s="4" cm="1">
        <f t="array" ref="C212">SUM((MMULT(ISNUMBER(SEARCH(TRANSPOSE(category!$A$2:$A$11), A212))*1, ROW(category!$A$2:$A$11)^0)&gt;0)*1)</f>
        <v>1</v>
      </c>
      <c r="D212" s="4" cm="1">
        <f t="array" ref="D212">SUM((MMULT(ISNUMBER(SEARCH(TRANSPOSE(category!$B$2:$B$25), A212))*1, ROW(category!$B$2:$B$25)^0)&gt;0)*1)</f>
        <v>1</v>
      </c>
      <c r="E212" s="4" cm="1">
        <f t="array" ref="E212">SUM((MMULT(ISNUMBER(SEARCH(TRANSPOSE(category!$C$2:$C$4), A212))*1, ROW(category!$C$2:$C$4)^0)&gt;0)*1)</f>
        <v>0</v>
      </c>
      <c r="F212" s="4" cm="1">
        <f t="array" ref="F212">SUM((MMULT(ISNUMBER(SEARCH(TRANSPOSE(category!$D$2:$D$10), A212))*1, ROW(category!$D$2:$D$10)^0)&gt;0)*1)</f>
        <v>1</v>
      </c>
      <c r="G212" s="4" cm="1">
        <f t="array" ref="G212">SUM((MMULT(ISNUMBER(SEARCH(TRANSPOSE(category!$E$2:$E$8), A212))*1, ROW(category!$E$2:$E$8)^0)&gt;0)*1)</f>
        <v>0</v>
      </c>
      <c r="H212" s="4" cm="1">
        <f t="array" ref="H212">SUM((MMULT(ISNUMBER(SEARCH(TRANSPOSE(category!$F$2:$F$9), A212))*1, ROW(category!$F$2:$F$9)^0)&gt;0)*1)</f>
        <v>0</v>
      </c>
    </row>
    <row r="213" spans="1:8" x14ac:dyDescent="0.45">
      <c r="A213" t="s">
        <v>454</v>
      </c>
      <c r="B213" s="6">
        <f t="shared" si="3"/>
        <v>12</v>
      </c>
      <c r="C213" s="4" cm="1">
        <f t="array" ref="C213">SUM((MMULT(ISNUMBER(SEARCH(TRANSPOSE(category!$A$2:$A$11), A213))*1, ROW(category!$A$2:$A$11)^0)&gt;0)*1)</f>
        <v>0</v>
      </c>
      <c r="D213" s="4" cm="1">
        <f t="array" ref="D213">SUM((MMULT(ISNUMBER(SEARCH(TRANSPOSE(category!$B$2:$B$25), A213))*1, ROW(category!$B$2:$B$25)^0)&gt;0)*1)</f>
        <v>1</v>
      </c>
      <c r="E213" s="4" cm="1">
        <f t="array" ref="E213">SUM((MMULT(ISNUMBER(SEARCH(TRANSPOSE(category!$C$2:$C$4), A213))*1, ROW(category!$C$2:$C$4)^0)&gt;0)*1)</f>
        <v>0</v>
      </c>
      <c r="F213" s="4" cm="1">
        <f t="array" ref="F213">SUM((MMULT(ISNUMBER(SEARCH(TRANSPOSE(category!$D$2:$D$10), A213))*1, ROW(category!$D$2:$D$10)^0)&gt;0)*1)</f>
        <v>1</v>
      </c>
      <c r="G213" s="4" cm="1">
        <f t="array" ref="G213">SUM((MMULT(ISNUMBER(SEARCH(TRANSPOSE(category!$E$2:$E$8), A213))*1, ROW(category!$E$2:$E$8)^0)&gt;0)*1)</f>
        <v>0</v>
      </c>
      <c r="H213" s="4" cm="1">
        <f t="array" ref="H213">SUM((MMULT(ISNUMBER(SEARCH(TRANSPOSE(category!$F$2:$F$9), A213))*1, ROW(category!$F$2:$F$9)^0)&gt;0)*1)</f>
        <v>1</v>
      </c>
    </row>
    <row r="214" spans="1:8" x14ac:dyDescent="0.45">
      <c r="A214" t="s">
        <v>456</v>
      </c>
      <c r="B214" s="6">
        <f t="shared" si="3"/>
        <v>29</v>
      </c>
      <c r="C214" s="4" cm="1">
        <f t="array" ref="C214">SUM((MMULT(ISNUMBER(SEARCH(TRANSPOSE(category!$A$2:$A$11), A214))*1, ROW(category!$A$2:$A$11)^0)&gt;0)*1)</f>
        <v>0</v>
      </c>
      <c r="D214" s="4" cm="1">
        <f t="array" ref="D214">SUM((MMULT(ISNUMBER(SEARCH(TRANSPOSE(category!$B$2:$B$25), A214))*1, ROW(category!$B$2:$B$25)^0)&gt;0)*1)</f>
        <v>1</v>
      </c>
      <c r="E214" s="4" cm="1">
        <f t="array" ref="E214">SUM((MMULT(ISNUMBER(SEARCH(TRANSPOSE(category!$C$2:$C$4), A214))*1, ROW(category!$C$2:$C$4)^0)&gt;0)*1)</f>
        <v>0</v>
      </c>
      <c r="F214" s="4" cm="1">
        <f t="array" ref="F214">SUM((MMULT(ISNUMBER(SEARCH(TRANSPOSE(category!$D$2:$D$10), A214))*1, ROW(category!$D$2:$D$10)^0)&gt;0)*1)</f>
        <v>0</v>
      </c>
      <c r="G214" s="4" cm="1">
        <f t="array" ref="G214">SUM((MMULT(ISNUMBER(SEARCH(TRANSPOSE(category!$E$2:$E$8), A214))*1, ROW(category!$E$2:$E$8)^0)&gt;0)*1)</f>
        <v>0</v>
      </c>
      <c r="H214" s="4" cm="1">
        <f t="array" ref="H214">SUM((MMULT(ISNUMBER(SEARCH(TRANSPOSE(category!$F$2:$F$9), A214))*1, ROW(category!$F$2:$F$9)^0)&gt;0)*1)</f>
        <v>0</v>
      </c>
    </row>
    <row r="215" spans="1:8" x14ac:dyDescent="0.45">
      <c r="A215" t="s">
        <v>458</v>
      </c>
      <c r="B215" s="6">
        <f t="shared" si="3"/>
        <v>25</v>
      </c>
      <c r="C215" s="4" cm="1">
        <f t="array" ref="C215">SUM((MMULT(ISNUMBER(SEARCH(TRANSPOSE(category!$A$2:$A$11), A215))*1, ROW(category!$A$2:$A$11)^0)&gt;0)*1)</f>
        <v>0</v>
      </c>
      <c r="D215" s="4" cm="1">
        <f t="array" ref="D215">SUM((MMULT(ISNUMBER(SEARCH(TRANSPOSE(category!$B$2:$B$25), A215))*1, ROW(category!$B$2:$B$25)^0)&gt;0)*1)</f>
        <v>1</v>
      </c>
      <c r="E215" s="4" cm="1">
        <f t="array" ref="E215">SUM((MMULT(ISNUMBER(SEARCH(TRANSPOSE(category!$C$2:$C$4), A215))*1, ROW(category!$C$2:$C$4)^0)&gt;0)*1)</f>
        <v>0</v>
      </c>
      <c r="F215" s="4" cm="1">
        <f t="array" ref="F215">SUM((MMULT(ISNUMBER(SEARCH(TRANSPOSE(category!$D$2:$D$10), A215))*1, ROW(category!$D$2:$D$10)^0)&gt;0)*1)</f>
        <v>1</v>
      </c>
      <c r="G215" s="4" cm="1">
        <f t="array" ref="G215">SUM((MMULT(ISNUMBER(SEARCH(TRANSPOSE(category!$E$2:$E$8), A215))*1, ROW(category!$E$2:$E$8)^0)&gt;0)*1)</f>
        <v>1</v>
      </c>
      <c r="H215" s="4" cm="1">
        <f t="array" ref="H215">SUM((MMULT(ISNUMBER(SEARCH(TRANSPOSE(category!$F$2:$F$9), A215))*1, ROW(category!$F$2:$F$9)^0)&gt;0)*1)</f>
        <v>0</v>
      </c>
    </row>
    <row r="216" spans="1:8" x14ac:dyDescent="0.45">
      <c r="A216" t="s">
        <v>461</v>
      </c>
      <c r="B216" s="6">
        <f t="shared" si="3"/>
        <v>46</v>
      </c>
      <c r="C216" s="4" cm="1">
        <f t="array" ref="C216">SUM((MMULT(ISNUMBER(SEARCH(TRANSPOSE(category!$A$2:$A$11), A216))*1, ROW(category!$A$2:$A$11)^0)&gt;0)*1)</f>
        <v>0</v>
      </c>
      <c r="D216" s="4" cm="1">
        <f t="array" ref="D216">SUM((MMULT(ISNUMBER(SEARCH(TRANSPOSE(category!$B$2:$B$25), A216))*1, ROW(category!$B$2:$B$25)^0)&gt;0)*1)</f>
        <v>1</v>
      </c>
      <c r="E216" s="4" cm="1">
        <f t="array" ref="E216">SUM((MMULT(ISNUMBER(SEARCH(TRANSPOSE(category!$C$2:$C$4), A216))*1, ROW(category!$C$2:$C$4)^0)&gt;0)*1)</f>
        <v>0</v>
      </c>
      <c r="F216" s="4" cm="1">
        <f t="array" ref="F216">SUM((MMULT(ISNUMBER(SEARCH(TRANSPOSE(category!$D$2:$D$10), A216))*1, ROW(category!$D$2:$D$10)^0)&gt;0)*1)</f>
        <v>1</v>
      </c>
      <c r="G216" s="4" cm="1">
        <f t="array" ref="G216">SUM((MMULT(ISNUMBER(SEARCH(TRANSPOSE(category!$E$2:$E$8), A216))*1, ROW(category!$E$2:$E$8)^0)&gt;0)*1)</f>
        <v>0</v>
      </c>
      <c r="H216" s="4" cm="1">
        <f t="array" ref="H216">SUM((MMULT(ISNUMBER(SEARCH(TRANSPOSE(category!$F$2:$F$9), A216))*1, ROW(category!$F$2:$F$9)^0)&gt;0)*1)</f>
        <v>0</v>
      </c>
    </row>
    <row r="217" spans="1:8" x14ac:dyDescent="0.45">
      <c r="A217" t="s">
        <v>463</v>
      </c>
      <c r="B217" s="6">
        <f t="shared" si="3"/>
        <v>18</v>
      </c>
      <c r="C217" s="4" cm="1">
        <f t="array" ref="C217">SUM((MMULT(ISNUMBER(SEARCH(TRANSPOSE(category!$A$2:$A$11), A217))*1, ROW(category!$A$2:$A$11)^0)&gt;0)*1)</f>
        <v>0</v>
      </c>
      <c r="D217" s="4" cm="1">
        <f t="array" ref="D217">SUM((MMULT(ISNUMBER(SEARCH(TRANSPOSE(category!$B$2:$B$25), A217))*1, ROW(category!$B$2:$B$25)^0)&gt;0)*1)</f>
        <v>1</v>
      </c>
      <c r="E217" s="4" cm="1">
        <f t="array" ref="E217">SUM((MMULT(ISNUMBER(SEARCH(TRANSPOSE(category!$C$2:$C$4), A217))*1, ROW(category!$C$2:$C$4)^0)&gt;0)*1)</f>
        <v>0</v>
      </c>
      <c r="F217" s="4" cm="1">
        <f t="array" ref="F217">SUM((MMULT(ISNUMBER(SEARCH(TRANSPOSE(category!$D$2:$D$10), A217))*1, ROW(category!$D$2:$D$10)^0)&gt;0)*1)</f>
        <v>0</v>
      </c>
      <c r="G217" s="4" cm="1">
        <f t="array" ref="G217">SUM((MMULT(ISNUMBER(SEARCH(TRANSPOSE(category!$E$2:$E$8), A217))*1, ROW(category!$E$2:$E$8)^0)&gt;0)*1)</f>
        <v>0</v>
      </c>
      <c r="H217" s="4" cm="1">
        <f t="array" ref="H217">SUM((MMULT(ISNUMBER(SEARCH(TRANSPOSE(category!$F$2:$F$9), A217))*1, ROW(category!$F$2:$F$9)^0)&gt;0)*1)</f>
        <v>0</v>
      </c>
    </row>
    <row r="218" spans="1:8" x14ac:dyDescent="0.45">
      <c r="A218" t="s">
        <v>465</v>
      </c>
      <c r="B218" s="6">
        <f t="shared" si="3"/>
        <v>49</v>
      </c>
      <c r="C218" s="4" cm="1">
        <f t="array" ref="C218">SUM((MMULT(ISNUMBER(SEARCH(TRANSPOSE(category!$A$2:$A$11), A218))*1, ROW(category!$A$2:$A$11)^0)&gt;0)*1)</f>
        <v>0</v>
      </c>
      <c r="D218" s="4" cm="1">
        <f t="array" ref="D218">SUM((MMULT(ISNUMBER(SEARCH(TRANSPOSE(category!$B$2:$B$25), A218))*1, ROW(category!$B$2:$B$25)^0)&gt;0)*1)</f>
        <v>1</v>
      </c>
      <c r="E218" s="4" cm="1">
        <f t="array" ref="E218">SUM((MMULT(ISNUMBER(SEARCH(TRANSPOSE(category!$C$2:$C$4), A218))*1, ROW(category!$C$2:$C$4)^0)&gt;0)*1)</f>
        <v>0</v>
      </c>
      <c r="F218" s="4" cm="1">
        <f t="array" ref="F218">SUM((MMULT(ISNUMBER(SEARCH(TRANSPOSE(category!$D$2:$D$10), A218))*1, ROW(category!$D$2:$D$10)^0)&gt;0)*1)</f>
        <v>1</v>
      </c>
      <c r="G218" s="4" cm="1">
        <f t="array" ref="G218">SUM((MMULT(ISNUMBER(SEARCH(TRANSPOSE(category!$E$2:$E$8), A218))*1, ROW(category!$E$2:$E$8)^0)&gt;0)*1)</f>
        <v>1</v>
      </c>
      <c r="H218" s="4" cm="1">
        <f t="array" ref="H218">SUM((MMULT(ISNUMBER(SEARCH(TRANSPOSE(category!$F$2:$F$9), A218))*1, ROW(category!$F$2:$F$9)^0)&gt;0)*1)</f>
        <v>0</v>
      </c>
    </row>
    <row r="219" spans="1:8" x14ac:dyDescent="0.45">
      <c r="A219" t="s">
        <v>468</v>
      </c>
      <c r="B219" s="6">
        <f t="shared" si="3"/>
        <v>43</v>
      </c>
      <c r="C219" s="4" cm="1">
        <f t="array" ref="C219">SUM((MMULT(ISNUMBER(SEARCH(TRANSPOSE(category!$A$2:$A$11), A219))*1, ROW(category!$A$2:$A$11)^0)&gt;0)*1)</f>
        <v>0</v>
      </c>
      <c r="D219" s="4" cm="1">
        <f t="array" ref="D219">SUM((MMULT(ISNUMBER(SEARCH(TRANSPOSE(category!$B$2:$B$25), A219))*1, ROW(category!$B$2:$B$25)^0)&gt;0)*1)</f>
        <v>1</v>
      </c>
      <c r="E219" s="4" cm="1">
        <f t="array" ref="E219">SUM((MMULT(ISNUMBER(SEARCH(TRANSPOSE(category!$C$2:$C$4), A219))*1, ROW(category!$C$2:$C$4)^0)&gt;0)*1)</f>
        <v>0</v>
      </c>
      <c r="F219" s="4" cm="1">
        <f t="array" ref="F219">SUM((MMULT(ISNUMBER(SEARCH(TRANSPOSE(category!$D$2:$D$10), A219))*1, ROW(category!$D$2:$D$10)^0)&gt;0)*1)</f>
        <v>1</v>
      </c>
      <c r="G219" s="4" cm="1">
        <f t="array" ref="G219">SUM((MMULT(ISNUMBER(SEARCH(TRANSPOSE(category!$E$2:$E$8), A219))*1, ROW(category!$E$2:$E$8)^0)&gt;0)*1)</f>
        <v>0</v>
      </c>
      <c r="H219" s="4" cm="1">
        <f t="array" ref="H219">SUM((MMULT(ISNUMBER(SEARCH(TRANSPOSE(category!$F$2:$F$9), A219))*1, ROW(category!$F$2:$F$9)^0)&gt;0)*1)</f>
        <v>0</v>
      </c>
    </row>
    <row r="220" spans="1:8" x14ac:dyDescent="0.45">
      <c r="A220" t="s">
        <v>470</v>
      </c>
      <c r="B220" s="6">
        <f t="shared" si="3"/>
        <v>11</v>
      </c>
      <c r="C220" s="4" cm="1">
        <f t="array" ref="C220">SUM((MMULT(ISNUMBER(SEARCH(TRANSPOSE(category!$A$2:$A$11), A220))*1, ROW(category!$A$2:$A$11)^0)&gt;0)*1)</f>
        <v>0</v>
      </c>
      <c r="D220" s="4" cm="1">
        <f t="array" ref="D220">SUM((MMULT(ISNUMBER(SEARCH(TRANSPOSE(category!$B$2:$B$25), A220))*1, ROW(category!$B$2:$B$25)^0)&gt;0)*1)</f>
        <v>0</v>
      </c>
      <c r="E220" s="4" cm="1">
        <f t="array" ref="E220">SUM((MMULT(ISNUMBER(SEARCH(TRANSPOSE(category!$C$2:$C$4), A220))*1, ROW(category!$C$2:$C$4)^0)&gt;0)*1)</f>
        <v>0</v>
      </c>
      <c r="F220" s="4" cm="1">
        <f t="array" ref="F220">SUM((MMULT(ISNUMBER(SEARCH(TRANSPOSE(category!$D$2:$D$10), A220))*1, ROW(category!$D$2:$D$10)^0)&gt;0)*1)</f>
        <v>1</v>
      </c>
      <c r="G220" s="4" cm="1">
        <f t="array" ref="G220">SUM((MMULT(ISNUMBER(SEARCH(TRANSPOSE(category!$E$2:$E$8), A220))*1, ROW(category!$E$2:$E$8)^0)&gt;0)*1)</f>
        <v>0</v>
      </c>
      <c r="H220" s="4" cm="1">
        <f t="array" ref="H220">SUM((MMULT(ISNUMBER(SEARCH(TRANSPOSE(category!$F$2:$F$9), A220))*1, ROW(category!$F$2:$F$9)^0)&gt;0)*1)</f>
        <v>0</v>
      </c>
    </row>
    <row r="221" spans="1:8" x14ac:dyDescent="0.45">
      <c r="A221" t="s">
        <v>472</v>
      </c>
      <c r="B221" s="6">
        <f t="shared" si="3"/>
        <v>13</v>
      </c>
      <c r="C221" s="4" cm="1">
        <f t="array" ref="C221">SUM((MMULT(ISNUMBER(SEARCH(TRANSPOSE(category!$A$2:$A$11), A221))*1, ROW(category!$A$2:$A$11)^0)&gt;0)*1)</f>
        <v>0</v>
      </c>
      <c r="D221" s="4" cm="1">
        <f t="array" ref="D221">SUM((MMULT(ISNUMBER(SEARCH(TRANSPOSE(category!$B$2:$B$25), A221))*1, ROW(category!$B$2:$B$25)^0)&gt;0)*1)</f>
        <v>1</v>
      </c>
      <c r="E221" s="4" cm="1">
        <f t="array" ref="E221">SUM((MMULT(ISNUMBER(SEARCH(TRANSPOSE(category!$C$2:$C$4), A221))*1, ROW(category!$C$2:$C$4)^0)&gt;0)*1)</f>
        <v>0</v>
      </c>
      <c r="F221" s="4" cm="1">
        <f t="array" ref="F221">SUM((MMULT(ISNUMBER(SEARCH(TRANSPOSE(category!$D$2:$D$10), A221))*1, ROW(category!$D$2:$D$10)^0)&gt;0)*1)</f>
        <v>1</v>
      </c>
      <c r="G221" s="4" cm="1">
        <f t="array" ref="G221">SUM((MMULT(ISNUMBER(SEARCH(TRANSPOSE(category!$E$2:$E$8), A221))*1, ROW(category!$E$2:$E$8)^0)&gt;0)*1)</f>
        <v>0</v>
      </c>
      <c r="H221" s="4" cm="1">
        <f t="array" ref="H221">SUM((MMULT(ISNUMBER(SEARCH(TRANSPOSE(category!$F$2:$F$9), A221))*1, ROW(category!$F$2:$F$9)^0)&gt;0)*1)</f>
        <v>1</v>
      </c>
    </row>
    <row r="222" spans="1:8" x14ac:dyDescent="0.45">
      <c r="A222" t="s">
        <v>474</v>
      </c>
      <c r="B222" s="6">
        <f t="shared" si="3"/>
        <v>24</v>
      </c>
      <c r="C222" s="4" cm="1">
        <f t="array" ref="C222">SUM((MMULT(ISNUMBER(SEARCH(TRANSPOSE(category!$A$2:$A$11), A222))*1, ROW(category!$A$2:$A$11)^0)&gt;0)*1)</f>
        <v>0</v>
      </c>
      <c r="D222" s="4" cm="1">
        <f t="array" ref="D222">SUM((MMULT(ISNUMBER(SEARCH(TRANSPOSE(category!$B$2:$B$25), A222))*1, ROW(category!$B$2:$B$25)^0)&gt;0)*1)</f>
        <v>1</v>
      </c>
      <c r="E222" s="4" cm="1">
        <f t="array" ref="E222">SUM((MMULT(ISNUMBER(SEARCH(TRANSPOSE(category!$C$2:$C$4), A222))*1, ROW(category!$C$2:$C$4)^0)&gt;0)*1)</f>
        <v>0</v>
      </c>
      <c r="F222" s="4" cm="1">
        <f t="array" ref="F222">SUM((MMULT(ISNUMBER(SEARCH(TRANSPOSE(category!$D$2:$D$10), A222))*1, ROW(category!$D$2:$D$10)^0)&gt;0)*1)</f>
        <v>1</v>
      </c>
      <c r="G222" s="4" cm="1">
        <f t="array" ref="G222">SUM((MMULT(ISNUMBER(SEARCH(TRANSPOSE(category!$E$2:$E$8), A222))*1, ROW(category!$E$2:$E$8)^0)&gt;0)*1)</f>
        <v>0</v>
      </c>
      <c r="H222" s="4" cm="1">
        <f t="array" ref="H222">SUM((MMULT(ISNUMBER(SEARCH(TRANSPOSE(category!$F$2:$F$9), A222))*1, ROW(category!$F$2:$F$9)^0)&gt;0)*1)</f>
        <v>0</v>
      </c>
    </row>
    <row r="223" spans="1:8" x14ac:dyDescent="0.45">
      <c r="A223" t="s">
        <v>476</v>
      </c>
      <c r="B223" s="6">
        <f t="shared" si="3"/>
        <v>42</v>
      </c>
      <c r="C223" s="4" cm="1">
        <f t="array" ref="C223">SUM((MMULT(ISNUMBER(SEARCH(TRANSPOSE(category!$A$2:$A$11), A223))*1, ROW(category!$A$2:$A$11)^0)&gt;0)*1)</f>
        <v>0</v>
      </c>
      <c r="D223" s="4" cm="1">
        <f t="array" ref="D223">SUM((MMULT(ISNUMBER(SEARCH(TRANSPOSE(category!$B$2:$B$25), A223))*1, ROW(category!$B$2:$B$25)^0)&gt;0)*1)</f>
        <v>1</v>
      </c>
      <c r="E223" s="4" cm="1">
        <f t="array" ref="E223">SUM((MMULT(ISNUMBER(SEARCH(TRANSPOSE(category!$C$2:$C$4), A223))*1, ROW(category!$C$2:$C$4)^0)&gt;0)*1)</f>
        <v>1</v>
      </c>
      <c r="F223" s="4" cm="1">
        <f t="array" ref="F223">SUM((MMULT(ISNUMBER(SEARCH(TRANSPOSE(category!$D$2:$D$10), A223))*1, ROW(category!$D$2:$D$10)^0)&gt;0)*1)</f>
        <v>0</v>
      </c>
      <c r="G223" s="4" cm="1">
        <f t="array" ref="G223">SUM((MMULT(ISNUMBER(SEARCH(TRANSPOSE(category!$E$2:$E$8), A223))*1, ROW(category!$E$2:$E$8)^0)&gt;0)*1)</f>
        <v>0</v>
      </c>
      <c r="H223" s="4" cm="1">
        <f t="array" ref="H223">SUM((MMULT(ISNUMBER(SEARCH(TRANSPOSE(category!$F$2:$F$9), A223))*1, ROW(category!$F$2:$F$9)^0)&gt;0)*1)</f>
        <v>0</v>
      </c>
    </row>
    <row r="224" spans="1:8" x14ac:dyDescent="0.45">
      <c r="A224" t="s">
        <v>478</v>
      </c>
      <c r="B224" s="6">
        <f t="shared" si="3"/>
        <v>29</v>
      </c>
      <c r="C224" s="4" cm="1">
        <f t="array" ref="C224">SUM((MMULT(ISNUMBER(SEARCH(TRANSPOSE(category!$A$2:$A$11), A224))*1, ROW(category!$A$2:$A$11)^0)&gt;0)*1)</f>
        <v>0</v>
      </c>
      <c r="D224" s="4" cm="1">
        <f t="array" ref="D224">SUM((MMULT(ISNUMBER(SEARCH(TRANSPOSE(category!$B$2:$B$25), A224))*1, ROW(category!$B$2:$B$25)^0)&gt;0)*1)</f>
        <v>1</v>
      </c>
      <c r="E224" s="4" cm="1">
        <f t="array" ref="E224">SUM((MMULT(ISNUMBER(SEARCH(TRANSPOSE(category!$C$2:$C$4), A224))*1, ROW(category!$C$2:$C$4)^0)&gt;0)*1)</f>
        <v>0</v>
      </c>
      <c r="F224" s="4" cm="1">
        <f t="array" ref="F224">SUM((MMULT(ISNUMBER(SEARCH(TRANSPOSE(category!$D$2:$D$10), A224))*1, ROW(category!$D$2:$D$10)^0)&gt;0)*1)</f>
        <v>0</v>
      </c>
      <c r="G224" s="4" cm="1">
        <f t="array" ref="G224">SUM((MMULT(ISNUMBER(SEARCH(TRANSPOSE(category!$E$2:$E$8), A224))*1, ROW(category!$E$2:$E$8)^0)&gt;0)*1)</f>
        <v>0</v>
      </c>
      <c r="H224" s="4" cm="1">
        <f t="array" ref="H224">SUM((MMULT(ISNUMBER(SEARCH(TRANSPOSE(category!$F$2:$F$9), A224))*1, ROW(category!$F$2:$F$9)^0)&gt;0)*1)</f>
        <v>0</v>
      </c>
    </row>
    <row r="225" spans="1:8" x14ac:dyDescent="0.45">
      <c r="A225" t="s">
        <v>480</v>
      </c>
      <c r="B225" s="6">
        <f t="shared" si="3"/>
        <v>26</v>
      </c>
      <c r="C225" s="4" cm="1">
        <f t="array" ref="C225">SUM((MMULT(ISNUMBER(SEARCH(TRANSPOSE(category!$A$2:$A$11), A225))*1, ROW(category!$A$2:$A$11)^0)&gt;0)*1)</f>
        <v>0</v>
      </c>
      <c r="D225" s="4" cm="1">
        <f t="array" ref="D225">SUM((MMULT(ISNUMBER(SEARCH(TRANSPOSE(category!$B$2:$B$25), A225))*1, ROW(category!$B$2:$B$25)^0)&gt;0)*1)</f>
        <v>1</v>
      </c>
      <c r="E225" s="4" cm="1">
        <f t="array" ref="E225">SUM((MMULT(ISNUMBER(SEARCH(TRANSPOSE(category!$C$2:$C$4), A225))*1, ROW(category!$C$2:$C$4)^0)&gt;0)*1)</f>
        <v>1</v>
      </c>
      <c r="F225" s="4" cm="1">
        <f t="array" ref="F225">SUM((MMULT(ISNUMBER(SEARCH(TRANSPOSE(category!$D$2:$D$10), A225))*1, ROW(category!$D$2:$D$10)^0)&gt;0)*1)</f>
        <v>1</v>
      </c>
      <c r="G225" s="4" cm="1">
        <f t="array" ref="G225">SUM((MMULT(ISNUMBER(SEARCH(TRANSPOSE(category!$E$2:$E$8), A225))*1, ROW(category!$E$2:$E$8)^0)&gt;0)*1)</f>
        <v>0</v>
      </c>
      <c r="H225" s="4" cm="1">
        <f t="array" ref="H225">SUM((MMULT(ISNUMBER(SEARCH(TRANSPOSE(category!$F$2:$F$9), A225))*1, ROW(category!$F$2:$F$9)^0)&gt;0)*1)</f>
        <v>0</v>
      </c>
    </row>
    <row r="226" spans="1:8" x14ac:dyDescent="0.45">
      <c r="A226" t="s">
        <v>482</v>
      </c>
      <c r="B226" s="6">
        <f t="shared" si="3"/>
        <v>18</v>
      </c>
      <c r="C226" s="4" cm="1">
        <f t="array" ref="C226">SUM((MMULT(ISNUMBER(SEARCH(TRANSPOSE(category!$A$2:$A$11), A226))*1, ROW(category!$A$2:$A$11)^0)&gt;0)*1)</f>
        <v>0</v>
      </c>
      <c r="D226" s="4" cm="1">
        <f t="array" ref="D226">SUM((MMULT(ISNUMBER(SEARCH(TRANSPOSE(category!$B$2:$B$25), A226))*1, ROW(category!$B$2:$B$25)^0)&gt;0)*1)</f>
        <v>1</v>
      </c>
      <c r="E226" s="4" cm="1">
        <f t="array" ref="E226">SUM((MMULT(ISNUMBER(SEARCH(TRANSPOSE(category!$C$2:$C$4), A226))*1, ROW(category!$C$2:$C$4)^0)&gt;0)*1)</f>
        <v>0</v>
      </c>
      <c r="F226" s="4" cm="1">
        <f t="array" ref="F226">SUM((MMULT(ISNUMBER(SEARCH(TRANSPOSE(category!$D$2:$D$10), A226))*1, ROW(category!$D$2:$D$10)^0)&gt;0)*1)</f>
        <v>1</v>
      </c>
      <c r="G226" s="4" cm="1">
        <f t="array" ref="G226">SUM((MMULT(ISNUMBER(SEARCH(TRANSPOSE(category!$E$2:$E$8), A226))*1, ROW(category!$E$2:$E$8)^0)&gt;0)*1)</f>
        <v>0</v>
      </c>
      <c r="H226" s="4" cm="1">
        <f t="array" ref="H226">SUM((MMULT(ISNUMBER(SEARCH(TRANSPOSE(category!$F$2:$F$9), A226))*1, ROW(category!$F$2:$F$9)^0)&gt;0)*1)</f>
        <v>0</v>
      </c>
    </row>
    <row r="227" spans="1:8" x14ac:dyDescent="0.45">
      <c r="A227" t="s">
        <v>484</v>
      </c>
      <c r="B227" s="6">
        <f t="shared" si="3"/>
        <v>31</v>
      </c>
      <c r="C227" s="4" cm="1">
        <f t="array" ref="C227">SUM((MMULT(ISNUMBER(SEARCH(TRANSPOSE(category!$A$2:$A$11), A227))*1, ROW(category!$A$2:$A$11)^0)&gt;0)*1)</f>
        <v>0</v>
      </c>
      <c r="D227" s="4" cm="1">
        <f t="array" ref="D227">SUM((MMULT(ISNUMBER(SEARCH(TRANSPOSE(category!$B$2:$B$25), A227))*1, ROW(category!$B$2:$B$25)^0)&gt;0)*1)</f>
        <v>1</v>
      </c>
      <c r="E227" s="4" cm="1">
        <f t="array" ref="E227">SUM((MMULT(ISNUMBER(SEARCH(TRANSPOSE(category!$C$2:$C$4), A227))*1, ROW(category!$C$2:$C$4)^0)&gt;0)*1)</f>
        <v>0</v>
      </c>
      <c r="F227" s="4" cm="1">
        <f t="array" ref="F227">SUM((MMULT(ISNUMBER(SEARCH(TRANSPOSE(category!$D$2:$D$10), A227))*1, ROW(category!$D$2:$D$10)^0)&gt;0)*1)</f>
        <v>1</v>
      </c>
      <c r="G227" s="4" cm="1">
        <f t="array" ref="G227">SUM((MMULT(ISNUMBER(SEARCH(TRANSPOSE(category!$E$2:$E$8), A227))*1, ROW(category!$E$2:$E$8)^0)&gt;0)*1)</f>
        <v>0</v>
      </c>
      <c r="H227" s="4" cm="1">
        <f t="array" ref="H227">SUM((MMULT(ISNUMBER(SEARCH(TRANSPOSE(category!$F$2:$F$9), A227))*1, ROW(category!$F$2:$F$9)^0)&gt;0)*1)</f>
        <v>0</v>
      </c>
    </row>
    <row r="228" spans="1:8" x14ac:dyDescent="0.45">
      <c r="A228" t="s">
        <v>486</v>
      </c>
      <c r="B228" s="6">
        <f t="shared" si="3"/>
        <v>30</v>
      </c>
      <c r="C228" s="4" cm="1">
        <f t="array" ref="C228">SUM((MMULT(ISNUMBER(SEARCH(TRANSPOSE(category!$A$2:$A$11), A228))*1, ROW(category!$A$2:$A$11)^0)&gt;0)*1)</f>
        <v>0</v>
      </c>
      <c r="D228" s="4" cm="1">
        <f t="array" ref="D228">SUM((MMULT(ISNUMBER(SEARCH(TRANSPOSE(category!$B$2:$B$25), A228))*1, ROW(category!$B$2:$B$25)^0)&gt;0)*1)</f>
        <v>1</v>
      </c>
      <c r="E228" s="4" cm="1">
        <f t="array" ref="E228">SUM((MMULT(ISNUMBER(SEARCH(TRANSPOSE(category!$C$2:$C$4), A228))*1, ROW(category!$C$2:$C$4)^0)&gt;0)*1)</f>
        <v>0</v>
      </c>
      <c r="F228" s="4" cm="1">
        <f t="array" ref="F228">SUM((MMULT(ISNUMBER(SEARCH(TRANSPOSE(category!$D$2:$D$10), A228))*1, ROW(category!$D$2:$D$10)^0)&gt;0)*1)</f>
        <v>0</v>
      </c>
      <c r="G228" s="4" cm="1">
        <f t="array" ref="G228">SUM((MMULT(ISNUMBER(SEARCH(TRANSPOSE(category!$E$2:$E$8), A228))*1, ROW(category!$E$2:$E$8)^0)&gt;0)*1)</f>
        <v>0</v>
      </c>
      <c r="H228" s="4" cm="1">
        <f t="array" ref="H228">SUM((MMULT(ISNUMBER(SEARCH(TRANSPOSE(category!$F$2:$F$9), A228))*1, ROW(category!$F$2:$F$9)^0)&gt;0)*1)</f>
        <v>0</v>
      </c>
    </row>
    <row r="229" spans="1:8" x14ac:dyDescent="0.45">
      <c r="A229" t="s">
        <v>488</v>
      </c>
      <c r="B229" s="6">
        <f t="shared" si="3"/>
        <v>41</v>
      </c>
      <c r="C229" s="4" cm="1">
        <f t="array" ref="C229">SUM((MMULT(ISNUMBER(SEARCH(TRANSPOSE(category!$A$2:$A$11), A229))*1, ROW(category!$A$2:$A$11)^0)&gt;0)*1)</f>
        <v>0</v>
      </c>
      <c r="D229" s="4" cm="1">
        <f t="array" ref="D229">SUM((MMULT(ISNUMBER(SEARCH(TRANSPOSE(category!$B$2:$B$25), A229))*1, ROW(category!$B$2:$B$25)^0)&gt;0)*1)</f>
        <v>1</v>
      </c>
      <c r="E229" s="4" cm="1">
        <f t="array" ref="E229">SUM((MMULT(ISNUMBER(SEARCH(TRANSPOSE(category!$C$2:$C$4), A229))*1, ROW(category!$C$2:$C$4)^0)&gt;0)*1)</f>
        <v>0</v>
      </c>
      <c r="F229" s="4" cm="1">
        <f t="array" ref="F229">SUM((MMULT(ISNUMBER(SEARCH(TRANSPOSE(category!$D$2:$D$10), A229))*1, ROW(category!$D$2:$D$10)^0)&gt;0)*1)</f>
        <v>1</v>
      </c>
      <c r="G229" s="4" cm="1">
        <f t="array" ref="G229">SUM((MMULT(ISNUMBER(SEARCH(TRANSPOSE(category!$E$2:$E$8), A229))*1, ROW(category!$E$2:$E$8)^0)&gt;0)*1)</f>
        <v>0</v>
      </c>
      <c r="H229" s="4" cm="1">
        <f t="array" ref="H229">SUM((MMULT(ISNUMBER(SEARCH(TRANSPOSE(category!$F$2:$F$9), A229))*1, ROW(category!$F$2:$F$9)^0)&gt;0)*1)</f>
        <v>0</v>
      </c>
    </row>
    <row r="230" spans="1:8" x14ac:dyDescent="0.45">
      <c r="A230" t="s">
        <v>490</v>
      </c>
      <c r="B230" s="6">
        <f t="shared" si="3"/>
        <v>25</v>
      </c>
      <c r="C230" s="4" cm="1">
        <f t="array" ref="C230">SUM((MMULT(ISNUMBER(SEARCH(TRANSPOSE(category!$A$2:$A$11), A230))*1, ROW(category!$A$2:$A$11)^0)&gt;0)*1)</f>
        <v>0</v>
      </c>
      <c r="D230" s="4" cm="1">
        <f t="array" ref="D230">SUM((MMULT(ISNUMBER(SEARCH(TRANSPOSE(category!$B$2:$B$25), A230))*1, ROW(category!$B$2:$B$25)^0)&gt;0)*1)</f>
        <v>1</v>
      </c>
      <c r="E230" s="4" cm="1">
        <f t="array" ref="E230">SUM((MMULT(ISNUMBER(SEARCH(TRANSPOSE(category!$C$2:$C$4), A230))*1, ROW(category!$C$2:$C$4)^0)&gt;0)*1)</f>
        <v>0</v>
      </c>
      <c r="F230" s="4" cm="1">
        <f t="array" ref="F230">SUM((MMULT(ISNUMBER(SEARCH(TRANSPOSE(category!$D$2:$D$10), A230))*1, ROW(category!$D$2:$D$10)^0)&gt;0)*1)</f>
        <v>0</v>
      </c>
      <c r="G230" s="4" cm="1">
        <f t="array" ref="G230">SUM((MMULT(ISNUMBER(SEARCH(TRANSPOSE(category!$E$2:$E$8), A230))*1, ROW(category!$E$2:$E$8)^0)&gt;0)*1)</f>
        <v>0</v>
      </c>
      <c r="H230" s="4" cm="1">
        <f t="array" ref="H230">SUM((MMULT(ISNUMBER(SEARCH(TRANSPOSE(category!$F$2:$F$9), A230))*1, ROW(category!$F$2:$F$9)^0)&gt;0)*1)</f>
        <v>0</v>
      </c>
    </row>
    <row r="231" spans="1:8" x14ac:dyDescent="0.45">
      <c r="A231" t="s">
        <v>492</v>
      </c>
      <c r="B231" s="6">
        <f t="shared" si="3"/>
        <v>26</v>
      </c>
      <c r="C231" s="4" cm="1">
        <f t="array" ref="C231">SUM((MMULT(ISNUMBER(SEARCH(TRANSPOSE(category!$A$2:$A$11), A231))*1, ROW(category!$A$2:$A$11)^0)&gt;0)*1)</f>
        <v>1</v>
      </c>
      <c r="D231" s="4" cm="1">
        <f t="array" ref="D231">SUM((MMULT(ISNUMBER(SEARCH(TRANSPOSE(category!$B$2:$B$25), A231))*1, ROW(category!$B$2:$B$25)^0)&gt;0)*1)</f>
        <v>1</v>
      </c>
      <c r="E231" s="4" cm="1">
        <f t="array" ref="E231">SUM((MMULT(ISNUMBER(SEARCH(TRANSPOSE(category!$C$2:$C$4), A231))*1, ROW(category!$C$2:$C$4)^0)&gt;0)*1)</f>
        <v>1</v>
      </c>
      <c r="F231" s="4" cm="1">
        <f t="array" ref="F231">SUM((MMULT(ISNUMBER(SEARCH(TRANSPOSE(category!$D$2:$D$10), A231))*1, ROW(category!$D$2:$D$10)^0)&gt;0)*1)</f>
        <v>0</v>
      </c>
      <c r="G231" s="4" cm="1">
        <f t="array" ref="G231">SUM((MMULT(ISNUMBER(SEARCH(TRANSPOSE(category!$E$2:$E$8), A231))*1, ROW(category!$E$2:$E$8)^0)&gt;0)*1)</f>
        <v>0</v>
      </c>
      <c r="H231" s="4" cm="1">
        <f t="array" ref="H231">SUM((MMULT(ISNUMBER(SEARCH(TRANSPOSE(category!$F$2:$F$9), A231))*1, ROW(category!$F$2:$F$9)^0)&gt;0)*1)</f>
        <v>0</v>
      </c>
    </row>
    <row r="232" spans="1:8" x14ac:dyDescent="0.45">
      <c r="A232" t="s">
        <v>494</v>
      </c>
      <c r="B232" s="6">
        <f t="shared" si="3"/>
        <v>10</v>
      </c>
      <c r="C232" s="4" cm="1">
        <f t="array" ref="C232">SUM((MMULT(ISNUMBER(SEARCH(TRANSPOSE(category!$A$2:$A$11), A232))*1, ROW(category!$A$2:$A$11)^0)&gt;0)*1)</f>
        <v>0</v>
      </c>
      <c r="D232" s="4" cm="1">
        <f t="array" ref="D232">SUM((MMULT(ISNUMBER(SEARCH(TRANSPOSE(category!$B$2:$B$25), A232))*1, ROW(category!$B$2:$B$25)^0)&gt;0)*1)</f>
        <v>1</v>
      </c>
      <c r="E232" s="4" cm="1">
        <f t="array" ref="E232">SUM((MMULT(ISNUMBER(SEARCH(TRANSPOSE(category!$C$2:$C$4), A232))*1, ROW(category!$C$2:$C$4)^0)&gt;0)*1)</f>
        <v>0</v>
      </c>
      <c r="F232" s="4" cm="1">
        <f t="array" ref="F232">SUM((MMULT(ISNUMBER(SEARCH(TRANSPOSE(category!$D$2:$D$10), A232))*1, ROW(category!$D$2:$D$10)^0)&gt;0)*1)</f>
        <v>1</v>
      </c>
      <c r="G232" s="4" cm="1">
        <f t="array" ref="G232">SUM((MMULT(ISNUMBER(SEARCH(TRANSPOSE(category!$E$2:$E$8), A232))*1, ROW(category!$E$2:$E$8)^0)&gt;0)*1)</f>
        <v>0</v>
      </c>
      <c r="H232" s="4" cm="1">
        <f t="array" ref="H232">SUM((MMULT(ISNUMBER(SEARCH(TRANSPOSE(category!$F$2:$F$9), A232))*1, ROW(category!$F$2:$F$9)^0)&gt;0)*1)</f>
        <v>0</v>
      </c>
    </row>
    <row r="233" spans="1:8" x14ac:dyDescent="0.45">
      <c r="A233" t="s">
        <v>496</v>
      </c>
      <c r="B233" s="6">
        <f t="shared" si="3"/>
        <v>13</v>
      </c>
      <c r="C233" s="4" cm="1">
        <f t="array" ref="C233">SUM((MMULT(ISNUMBER(SEARCH(TRANSPOSE(category!$A$2:$A$11), A233))*1, ROW(category!$A$2:$A$11)^0)&gt;0)*1)</f>
        <v>0</v>
      </c>
      <c r="D233" s="4" cm="1">
        <f t="array" ref="D233">SUM((MMULT(ISNUMBER(SEARCH(TRANSPOSE(category!$B$2:$B$25), A233))*1, ROW(category!$B$2:$B$25)^0)&gt;0)*1)</f>
        <v>1</v>
      </c>
      <c r="E233" s="4" cm="1">
        <f t="array" ref="E233">SUM((MMULT(ISNUMBER(SEARCH(TRANSPOSE(category!$C$2:$C$4), A233))*1, ROW(category!$C$2:$C$4)^0)&gt;0)*1)</f>
        <v>0</v>
      </c>
      <c r="F233" s="4" cm="1">
        <f t="array" ref="F233">SUM((MMULT(ISNUMBER(SEARCH(TRANSPOSE(category!$D$2:$D$10), A233))*1, ROW(category!$D$2:$D$10)^0)&gt;0)*1)</f>
        <v>0</v>
      </c>
      <c r="G233" s="4" cm="1">
        <f t="array" ref="G233">SUM((MMULT(ISNUMBER(SEARCH(TRANSPOSE(category!$E$2:$E$8), A233))*1, ROW(category!$E$2:$E$8)^0)&gt;0)*1)</f>
        <v>0</v>
      </c>
      <c r="H233" s="4" cm="1">
        <f t="array" ref="H233">SUM((MMULT(ISNUMBER(SEARCH(TRANSPOSE(category!$F$2:$F$9), A233))*1, ROW(category!$F$2:$F$9)^0)&gt;0)*1)</f>
        <v>0</v>
      </c>
    </row>
    <row r="234" spans="1:8" x14ac:dyDescent="0.45">
      <c r="A234" t="s">
        <v>498</v>
      </c>
      <c r="B234" s="6">
        <f t="shared" si="3"/>
        <v>52</v>
      </c>
      <c r="C234" s="4" cm="1">
        <f t="array" ref="C234">SUM((MMULT(ISNUMBER(SEARCH(TRANSPOSE(category!$A$2:$A$11), A234))*1, ROW(category!$A$2:$A$11)^0)&gt;0)*1)</f>
        <v>0</v>
      </c>
      <c r="D234" s="4" cm="1">
        <f t="array" ref="D234">SUM((MMULT(ISNUMBER(SEARCH(TRANSPOSE(category!$B$2:$B$25), A234))*1, ROW(category!$B$2:$B$25)^0)&gt;0)*1)</f>
        <v>1</v>
      </c>
      <c r="E234" s="4" cm="1">
        <f t="array" ref="E234">SUM((MMULT(ISNUMBER(SEARCH(TRANSPOSE(category!$C$2:$C$4), A234))*1, ROW(category!$C$2:$C$4)^0)&gt;0)*1)</f>
        <v>0</v>
      </c>
      <c r="F234" s="4" cm="1">
        <f t="array" ref="F234">SUM((MMULT(ISNUMBER(SEARCH(TRANSPOSE(category!$D$2:$D$10), A234))*1, ROW(category!$D$2:$D$10)^0)&gt;0)*1)</f>
        <v>1</v>
      </c>
      <c r="G234" s="4" cm="1">
        <f t="array" ref="G234">SUM((MMULT(ISNUMBER(SEARCH(TRANSPOSE(category!$E$2:$E$8), A234))*1, ROW(category!$E$2:$E$8)^0)&gt;0)*1)</f>
        <v>0</v>
      </c>
      <c r="H234" s="4" cm="1">
        <f t="array" ref="H234">SUM((MMULT(ISNUMBER(SEARCH(TRANSPOSE(category!$F$2:$F$9), A234))*1, ROW(category!$F$2:$F$9)^0)&gt;0)*1)</f>
        <v>0</v>
      </c>
    </row>
    <row r="235" spans="1:8" x14ac:dyDescent="0.45">
      <c r="A235" t="s">
        <v>500</v>
      </c>
      <c r="B235" s="6">
        <f t="shared" si="3"/>
        <v>8</v>
      </c>
      <c r="C235" s="4" cm="1">
        <f t="array" ref="C235">SUM((MMULT(ISNUMBER(SEARCH(TRANSPOSE(category!$A$2:$A$11), A235))*1, ROW(category!$A$2:$A$11)^0)&gt;0)*1)</f>
        <v>0</v>
      </c>
      <c r="D235" s="4" cm="1">
        <f t="array" ref="D235">SUM((MMULT(ISNUMBER(SEARCH(TRANSPOSE(category!$B$2:$B$25), A235))*1, ROW(category!$B$2:$B$25)^0)&gt;0)*1)</f>
        <v>0</v>
      </c>
      <c r="E235" s="4" cm="1">
        <f t="array" ref="E235">SUM((MMULT(ISNUMBER(SEARCH(TRANSPOSE(category!$C$2:$C$4), A235))*1, ROW(category!$C$2:$C$4)^0)&gt;0)*1)</f>
        <v>0</v>
      </c>
      <c r="F235" s="4" cm="1">
        <f t="array" ref="F235">SUM((MMULT(ISNUMBER(SEARCH(TRANSPOSE(category!$D$2:$D$10), A235))*1, ROW(category!$D$2:$D$10)^0)&gt;0)*1)</f>
        <v>0</v>
      </c>
      <c r="G235" s="4" cm="1">
        <f t="array" ref="G235">SUM((MMULT(ISNUMBER(SEARCH(TRANSPOSE(category!$E$2:$E$8), A235))*1, ROW(category!$E$2:$E$8)^0)&gt;0)*1)</f>
        <v>0</v>
      </c>
      <c r="H235" s="4" cm="1">
        <f t="array" ref="H235">SUM((MMULT(ISNUMBER(SEARCH(TRANSPOSE(category!$F$2:$F$9), A235))*1, ROW(category!$F$2:$F$9)^0)&gt;0)*1)</f>
        <v>0</v>
      </c>
    </row>
    <row r="236" spans="1:8" x14ac:dyDescent="0.45">
      <c r="A236" t="s">
        <v>502</v>
      </c>
      <c r="B236" s="6">
        <f t="shared" si="3"/>
        <v>34</v>
      </c>
      <c r="C236" s="4" cm="1">
        <f t="array" ref="C236">SUM((MMULT(ISNUMBER(SEARCH(TRANSPOSE(category!$A$2:$A$11), A236))*1, ROW(category!$A$2:$A$11)^0)&gt;0)*1)</f>
        <v>1</v>
      </c>
      <c r="D236" s="4" cm="1">
        <f t="array" ref="D236">SUM((MMULT(ISNUMBER(SEARCH(TRANSPOSE(category!$B$2:$B$25), A236))*1, ROW(category!$B$2:$B$25)^0)&gt;0)*1)</f>
        <v>1</v>
      </c>
      <c r="E236" s="4" cm="1">
        <f t="array" ref="E236">SUM((MMULT(ISNUMBER(SEARCH(TRANSPOSE(category!$C$2:$C$4), A236))*1, ROW(category!$C$2:$C$4)^0)&gt;0)*1)</f>
        <v>0</v>
      </c>
      <c r="F236" s="4" cm="1">
        <f t="array" ref="F236">SUM((MMULT(ISNUMBER(SEARCH(TRANSPOSE(category!$D$2:$D$10), A236))*1, ROW(category!$D$2:$D$10)^0)&gt;0)*1)</f>
        <v>0</v>
      </c>
      <c r="G236" s="4" cm="1">
        <f t="array" ref="G236">SUM((MMULT(ISNUMBER(SEARCH(TRANSPOSE(category!$E$2:$E$8), A236))*1, ROW(category!$E$2:$E$8)^0)&gt;0)*1)</f>
        <v>0</v>
      </c>
      <c r="H236" s="4" cm="1">
        <f t="array" ref="H236">SUM((MMULT(ISNUMBER(SEARCH(TRANSPOSE(category!$F$2:$F$9), A236))*1, ROW(category!$F$2:$F$9)^0)&gt;0)*1)</f>
        <v>0</v>
      </c>
    </row>
    <row r="237" spans="1:8" x14ac:dyDescent="0.45">
      <c r="A237" t="s">
        <v>504</v>
      </c>
      <c r="B237" s="6">
        <f t="shared" si="3"/>
        <v>19</v>
      </c>
      <c r="C237" s="4" cm="1">
        <f t="array" ref="C237">SUM((MMULT(ISNUMBER(SEARCH(TRANSPOSE(category!$A$2:$A$11), A237))*1, ROW(category!$A$2:$A$11)^0)&gt;0)*1)</f>
        <v>0</v>
      </c>
      <c r="D237" s="4" cm="1">
        <f t="array" ref="D237">SUM((MMULT(ISNUMBER(SEARCH(TRANSPOSE(category!$B$2:$B$25), A237))*1, ROW(category!$B$2:$B$25)^0)&gt;0)*1)</f>
        <v>1</v>
      </c>
      <c r="E237" s="4" cm="1">
        <f t="array" ref="E237">SUM((MMULT(ISNUMBER(SEARCH(TRANSPOSE(category!$C$2:$C$4), A237))*1, ROW(category!$C$2:$C$4)^0)&gt;0)*1)</f>
        <v>0</v>
      </c>
      <c r="F237" s="4" cm="1">
        <f t="array" ref="F237">SUM((MMULT(ISNUMBER(SEARCH(TRANSPOSE(category!$D$2:$D$10), A237))*1, ROW(category!$D$2:$D$10)^0)&gt;0)*1)</f>
        <v>1</v>
      </c>
      <c r="G237" s="4" cm="1">
        <f t="array" ref="G237">SUM((MMULT(ISNUMBER(SEARCH(TRANSPOSE(category!$E$2:$E$8), A237))*1, ROW(category!$E$2:$E$8)^0)&gt;0)*1)</f>
        <v>0</v>
      </c>
      <c r="H237" s="4" cm="1">
        <f t="array" ref="H237">SUM((MMULT(ISNUMBER(SEARCH(TRANSPOSE(category!$F$2:$F$9), A237))*1, ROW(category!$F$2:$F$9)^0)&gt;0)*1)</f>
        <v>0</v>
      </c>
    </row>
    <row r="238" spans="1:8" x14ac:dyDescent="0.45">
      <c r="A238" t="s">
        <v>506</v>
      </c>
      <c r="B238" s="6">
        <f t="shared" si="3"/>
        <v>19</v>
      </c>
      <c r="C238" s="4" cm="1">
        <f t="array" ref="C238">SUM((MMULT(ISNUMBER(SEARCH(TRANSPOSE(category!$A$2:$A$11), A238))*1, ROW(category!$A$2:$A$11)^0)&gt;0)*1)</f>
        <v>0</v>
      </c>
      <c r="D238" s="4" cm="1">
        <f t="array" ref="D238">SUM((MMULT(ISNUMBER(SEARCH(TRANSPOSE(category!$B$2:$B$25), A238))*1, ROW(category!$B$2:$B$25)^0)&gt;0)*1)</f>
        <v>1</v>
      </c>
      <c r="E238" s="4" cm="1">
        <f t="array" ref="E238">SUM((MMULT(ISNUMBER(SEARCH(TRANSPOSE(category!$C$2:$C$4), A238))*1, ROW(category!$C$2:$C$4)^0)&gt;0)*1)</f>
        <v>0</v>
      </c>
      <c r="F238" s="4" cm="1">
        <f t="array" ref="F238">SUM((MMULT(ISNUMBER(SEARCH(TRANSPOSE(category!$D$2:$D$10), A238))*1, ROW(category!$D$2:$D$10)^0)&gt;0)*1)</f>
        <v>0</v>
      </c>
      <c r="G238" s="4" cm="1">
        <f t="array" ref="G238">SUM((MMULT(ISNUMBER(SEARCH(TRANSPOSE(category!$E$2:$E$8), A238))*1, ROW(category!$E$2:$E$8)^0)&gt;0)*1)</f>
        <v>0</v>
      </c>
      <c r="H238" s="4" cm="1">
        <f t="array" ref="H238">SUM((MMULT(ISNUMBER(SEARCH(TRANSPOSE(category!$F$2:$F$9), A238))*1, ROW(category!$F$2:$F$9)^0)&gt;0)*1)</f>
        <v>0</v>
      </c>
    </row>
    <row r="239" spans="1:8" x14ac:dyDescent="0.45">
      <c r="A239" t="s">
        <v>508</v>
      </c>
      <c r="B239" s="6">
        <f t="shared" si="3"/>
        <v>18</v>
      </c>
      <c r="C239" s="4" cm="1">
        <f t="array" ref="C239">SUM((MMULT(ISNUMBER(SEARCH(TRANSPOSE(category!$A$2:$A$11), A239))*1, ROW(category!$A$2:$A$11)^0)&gt;0)*1)</f>
        <v>0</v>
      </c>
      <c r="D239" s="4" cm="1">
        <f t="array" ref="D239">SUM((MMULT(ISNUMBER(SEARCH(TRANSPOSE(category!$B$2:$B$25), A239))*1, ROW(category!$B$2:$B$25)^0)&gt;0)*1)</f>
        <v>1</v>
      </c>
      <c r="E239" s="4" cm="1">
        <f t="array" ref="E239">SUM((MMULT(ISNUMBER(SEARCH(TRANSPOSE(category!$C$2:$C$4), A239))*1, ROW(category!$C$2:$C$4)^0)&gt;0)*1)</f>
        <v>0</v>
      </c>
      <c r="F239" s="4" cm="1">
        <f t="array" ref="F239">SUM((MMULT(ISNUMBER(SEARCH(TRANSPOSE(category!$D$2:$D$10), A239))*1, ROW(category!$D$2:$D$10)^0)&gt;0)*1)</f>
        <v>0</v>
      </c>
      <c r="G239" s="4" cm="1">
        <f t="array" ref="G239">SUM((MMULT(ISNUMBER(SEARCH(TRANSPOSE(category!$E$2:$E$8), A239))*1, ROW(category!$E$2:$E$8)^0)&gt;0)*1)</f>
        <v>0</v>
      </c>
      <c r="H239" s="4" cm="1">
        <f t="array" ref="H239">SUM((MMULT(ISNUMBER(SEARCH(TRANSPOSE(category!$F$2:$F$9), A239))*1, ROW(category!$F$2:$F$9)^0)&gt;0)*1)</f>
        <v>0</v>
      </c>
    </row>
    <row r="240" spans="1:8" x14ac:dyDescent="0.45">
      <c r="A240" t="s">
        <v>510</v>
      </c>
      <c r="B240" s="6">
        <f t="shared" si="3"/>
        <v>23</v>
      </c>
      <c r="C240" s="4" cm="1">
        <f t="array" ref="C240">SUM((MMULT(ISNUMBER(SEARCH(TRANSPOSE(category!$A$2:$A$11), A240))*1, ROW(category!$A$2:$A$11)^0)&gt;0)*1)</f>
        <v>0</v>
      </c>
      <c r="D240" s="4" cm="1">
        <f t="array" ref="D240">SUM((MMULT(ISNUMBER(SEARCH(TRANSPOSE(category!$B$2:$B$25), A240))*1, ROW(category!$B$2:$B$25)^0)&gt;0)*1)</f>
        <v>1</v>
      </c>
      <c r="E240" s="4" cm="1">
        <f t="array" ref="E240">SUM((MMULT(ISNUMBER(SEARCH(TRANSPOSE(category!$C$2:$C$4), A240))*1, ROW(category!$C$2:$C$4)^0)&gt;0)*1)</f>
        <v>0</v>
      </c>
      <c r="F240" s="4" cm="1">
        <f t="array" ref="F240">SUM((MMULT(ISNUMBER(SEARCH(TRANSPOSE(category!$D$2:$D$10), A240))*1, ROW(category!$D$2:$D$10)^0)&gt;0)*1)</f>
        <v>0</v>
      </c>
      <c r="G240" s="4" cm="1">
        <f t="array" ref="G240">SUM((MMULT(ISNUMBER(SEARCH(TRANSPOSE(category!$E$2:$E$8), A240))*1, ROW(category!$E$2:$E$8)^0)&gt;0)*1)</f>
        <v>0</v>
      </c>
      <c r="H240" s="4" cm="1">
        <f t="array" ref="H240">SUM((MMULT(ISNUMBER(SEARCH(TRANSPOSE(category!$F$2:$F$9), A240))*1, ROW(category!$F$2:$F$9)^0)&gt;0)*1)</f>
        <v>0</v>
      </c>
    </row>
    <row r="241" spans="1:8" x14ac:dyDescent="0.45">
      <c r="A241" t="s">
        <v>512</v>
      </c>
      <c r="B241" s="6">
        <f t="shared" si="3"/>
        <v>20</v>
      </c>
      <c r="C241" s="4" cm="1">
        <f t="array" ref="C241">SUM((MMULT(ISNUMBER(SEARCH(TRANSPOSE(category!$A$2:$A$11), A241))*1, ROW(category!$A$2:$A$11)^0)&gt;0)*1)</f>
        <v>1</v>
      </c>
      <c r="D241" s="4" cm="1">
        <f t="array" ref="D241">SUM((MMULT(ISNUMBER(SEARCH(TRANSPOSE(category!$B$2:$B$25), A241))*1, ROW(category!$B$2:$B$25)^0)&gt;0)*1)</f>
        <v>1</v>
      </c>
      <c r="E241" s="4" cm="1">
        <f t="array" ref="E241">SUM((MMULT(ISNUMBER(SEARCH(TRANSPOSE(category!$C$2:$C$4), A241))*1, ROW(category!$C$2:$C$4)^0)&gt;0)*1)</f>
        <v>0</v>
      </c>
      <c r="F241" s="4" cm="1">
        <f t="array" ref="F241">SUM((MMULT(ISNUMBER(SEARCH(TRANSPOSE(category!$D$2:$D$10), A241))*1, ROW(category!$D$2:$D$10)^0)&gt;0)*1)</f>
        <v>0</v>
      </c>
      <c r="G241" s="4" cm="1">
        <f t="array" ref="G241">SUM((MMULT(ISNUMBER(SEARCH(TRANSPOSE(category!$E$2:$E$8), A241))*1, ROW(category!$E$2:$E$8)^0)&gt;0)*1)</f>
        <v>0</v>
      </c>
      <c r="H241" s="4" cm="1">
        <f t="array" ref="H241">SUM((MMULT(ISNUMBER(SEARCH(TRANSPOSE(category!$F$2:$F$9), A241))*1, ROW(category!$F$2:$F$9)^0)&gt;0)*1)</f>
        <v>0</v>
      </c>
    </row>
    <row r="242" spans="1:8" x14ac:dyDescent="0.45">
      <c r="A242" t="s">
        <v>514</v>
      </c>
      <c r="B242" s="6">
        <f t="shared" si="3"/>
        <v>30</v>
      </c>
      <c r="C242" s="4" cm="1">
        <f t="array" ref="C242">SUM((MMULT(ISNUMBER(SEARCH(TRANSPOSE(category!$A$2:$A$11), A242))*1, ROW(category!$A$2:$A$11)^0)&gt;0)*1)</f>
        <v>1</v>
      </c>
      <c r="D242" s="4" cm="1">
        <f t="array" ref="D242">SUM((MMULT(ISNUMBER(SEARCH(TRANSPOSE(category!$B$2:$B$25), A242))*1, ROW(category!$B$2:$B$25)^0)&gt;0)*1)</f>
        <v>1</v>
      </c>
      <c r="E242" s="4" cm="1">
        <f t="array" ref="E242">SUM((MMULT(ISNUMBER(SEARCH(TRANSPOSE(category!$C$2:$C$4), A242))*1, ROW(category!$C$2:$C$4)^0)&gt;0)*1)</f>
        <v>0</v>
      </c>
      <c r="F242" s="4" cm="1">
        <f t="array" ref="F242">SUM((MMULT(ISNUMBER(SEARCH(TRANSPOSE(category!$D$2:$D$10), A242))*1, ROW(category!$D$2:$D$10)^0)&gt;0)*1)</f>
        <v>1</v>
      </c>
      <c r="G242" s="4" cm="1">
        <f t="array" ref="G242">SUM((MMULT(ISNUMBER(SEARCH(TRANSPOSE(category!$E$2:$E$8), A242))*1, ROW(category!$E$2:$E$8)^0)&gt;0)*1)</f>
        <v>0</v>
      </c>
      <c r="H242" s="4" cm="1">
        <f t="array" ref="H242">SUM((MMULT(ISNUMBER(SEARCH(TRANSPOSE(category!$F$2:$F$9), A242))*1, ROW(category!$F$2:$F$9)^0)&gt;0)*1)</f>
        <v>0</v>
      </c>
    </row>
    <row r="243" spans="1:8" x14ac:dyDescent="0.45">
      <c r="A243" t="s">
        <v>516</v>
      </c>
      <c r="B243" s="6">
        <f t="shared" si="3"/>
        <v>21</v>
      </c>
      <c r="C243" s="4" cm="1">
        <f t="array" ref="C243">SUM((MMULT(ISNUMBER(SEARCH(TRANSPOSE(category!$A$2:$A$11), A243))*1, ROW(category!$A$2:$A$11)^0)&gt;0)*1)</f>
        <v>0</v>
      </c>
      <c r="D243" s="4" cm="1">
        <f t="array" ref="D243">SUM((MMULT(ISNUMBER(SEARCH(TRANSPOSE(category!$B$2:$B$25), A243))*1, ROW(category!$B$2:$B$25)^0)&gt;0)*1)</f>
        <v>1</v>
      </c>
      <c r="E243" s="4" cm="1">
        <f t="array" ref="E243">SUM((MMULT(ISNUMBER(SEARCH(TRANSPOSE(category!$C$2:$C$4), A243))*1, ROW(category!$C$2:$C$4)^0)&gt;0)*1)</f>
        <v>0</v>
      </c>
      <c r="F243" s="4" cm="1">
        <f t="array" ref="F243">SUM((MMULT(ISNUMBER(SEARCH(TRANSPOSE(category!$D$2:$D$10), A243))*1, ROW(category!$D$2:$D$10)^0)&gt;0)*1)</f>
        <v>1</v>
      </c>
      <c r="G243" s="4" cm="1">
        <f t="array" ref="G243">SUM((MMULT(ISNUMBER(SEARCH(TRANSPOSE(category!$E$2:$E$8), A243))*1, ROW(category!$E$2:$E$8)^0)&gt;0)*1)</f>
        <v>0</v>
      </c>
      <c r="H243" s="4" cm="1">
        <f t="array" ref="H243">SUM((MMULT(ISNUMBER(SEARCH(TRANSPOSE(category!$F$2:$F$9), A243))*1, ROW(category!$F$2:$F$9)^0)&gt;0)*1)</f>
        <v>0</v>
      </c>
    </row>
    <row r="244" spans="1:8" x14ac:dyDescent="0.45">
      <c r="A244" t="s">
        <v>518</v>
      </c>
      <c r="B244" s="6">
        <f t="shared" si="3"/>
        <v>19</v>
      </c>
      <c r="C244" s="4" cm="1">
        <f t="array" ref="C244">SUM((MMULT(ISNUMBER(SEARCH(TRANSPOSE(category!$A$2:$A$11), A244))*1, ROW(category!$A$2:$A$11)^0)&gt;0)*1)</f>
        <v>0</v>
      </c>
      <c r="D244" s="4" cm="1">
        <f t="array" ref="D244">SUM((MMULT(ISNUMBER(SEARCH(TRANSPOSE(category!$B$2:$B$25), A244))*1, ROW(category!$B$2:$B$25)^0)&gt;0)*1)</f>
        <v>1</v>
      </c>
      <c r="E244" s="4" cm="1">
        <f t="array" ref="E244">SUM((MMULT(ISNUMBER(SEARCH(TRANSPOSE(category!$C$2:$C$4), A244))*1, ROW(category!$C$2:$C$4)^0)&gt;0)*1)</f>
        <v>0</v>
      </c>
      <c r="F244" s="4" cm="1">
        <f t="array" ref="F244">SUM((MMULT(ISNUMBER(SEARCH(TRANSPOSE(category!$D$2:$D$10), A244))*1, ROW(category!$D$2:$D$10)^0)&gt;0)*1)</f>
        <v>0</v>
      </c>
      <c r="G244" s="4" cm="1">
        <f t="array" ref="G244">SUM((MMULT(ISNUMBER(SEARCH(TRANSPOSE(category!$E$2:$E$8), A244))*1, ROW(category!$E$2:$E$8)^0)&gt;0)*1)</f>
        <v>0</v>
      </c>
      <c r="H244" s="4" cm="1">
        <f t="array" ref="H244">SUM((MMULT(ISNUMBER(SEARCH(TRANSPOSE(category!$F$2:$F$9), A244))*1, ROW(category!$F$2:$F$9)^0)&gt;0)*1)</f>
        <v>0</v>
      </c>
    </row>
    <row r="245" spans="1:8" x14ac:dyDescent="0.45">
      <c r="A245" t="s">
        <v>520</v>
      </c>
      <c r="B245" s="6">
        <f t="shared" si="3"/>
        <v>15</v>
      </c>
      <c r="C245" s="4" cm="1">
        <f t="array" ref="C245">SUM((MMULT(ISNUMBER(SEARCH(TRANSPOSE(category!$A$2:$A$11), A245))*1, ROW(category!$A$2:$A$11)^0)&gt;0)*1)</f>
        <v>0</v>
      </c>
      <c r="D245" s="4" cm="1">
        <f t="array" ref="D245">SUM((MMULT(ISNUMBER(SEARCH(TRANSPOSE(category!$B$2:$B$25), A245))*1, ROW(category!$B$2:$B$25)^0)&gt;0)*1)</f>
        <v>1</v>
      </c>
      <c r="E245" s="4" cm="1">
        <f t="array" ref="E245">SUM((MMULT(ISNUMBER(SEARCH(TRANSPOSE(category!$C$2:$C$4), A245))*1, ROW(category!$C$2:$C$4)^0)&gt;0)*1)</f>
        <v>0</v>
      </c>
      <c r="F245" s="4" cm="1">
        <f t="array" ref="F245">SUM((MMULT(ISNUMBER(SEARCH(TRANSPOSE(category!$D$2:$D$10), A245))*1, ROW(category!$D$2:$D$10)^0)&gt;0)*1)</f>
        <v>0</v>
      </c>
      <c r="G245" s="4" cm="1">
        <f t="array" ref="G245">SUM((MMULT(ISNUMBER(SEARCH(TRANSPOSE(category!$E$2:$E$8), A245))*1, ROW(category!$E$2:$E$8)^0)&gt;0)*1)</f>
        <v>0</v>
      </c>
      <c r="H245" s="4" cm="1">
        <f t="array" ref="H245">SUM((MMULT(ISNUMBER(SEARCH(TRANSPOSE(category!$F$2:$F$9), A245))*1, ROW(category!$F$2:$F$9)^0)&gt;0)*1)</f>
        <v>0</v>
      </c>
    </row>
    <row r="246" spans="1:8" x14ac:dyDescent="0.45">
      <c r="A246" t="s">
        <v>522</v>
      </c>
      <c r="B246" s="6">
        <f t="shared" si="3"/>
        <v>24</v>
      </c>
      <c r="C246" s="4" cm="1">
        <f t="array" ref="C246">SUM((MMULT(ISNUMBER(SEARCH(TRANSPOSE(category!$A$2:$A$11), A246))*1, ROW(category!$A$2:$A$11)^0)&gt;0)*1)</f>
        <v>1</v>
      </c>
      <c r="D246" s="4" cm="1">
        <f t="array" ref="D246">SUM((MMULT(ISNUMBER(SEARCH(TRANSPOSE(category!$B$2:$B$25), A246))*1, ROW(category!$B$2:$B$25)^0)&gt;0)*1)</f>
        <v>1</v>
      </c>
      <c r="E246" s="4" cm="1">
        <f t="array" ref="E246">SUM((MMULT(ISNUMBER(SEARCH(TRANSPOSE(category!$C$2:$C$4), A246))*1, ROW(category!$C$2:$C$4)^0)&gt;0)*1)</f>
        <v>0</v>
      </c>
      <c r="F246" s="4" cm="1">
        <f t="array" ref="F246">SUM((MMULT(ISNUMBER(SEARCH(TRANSPOSE(category!$D$2:$D$10), A246))*1, ROW(category!$D$2:$D$10)^0)&gt;0)*1)</f>
        <v>1</v>
      </c>
      <c r="G246" s="4" cm="1">
        <f t="array" ref="G246">SUM((MMULT(ISNUMBER(SEARCH(TRANSPOSE(category!$E$2:$E$8), A246))*1, ROW(category!$E$2:$E$8)^0)&gt;0)*1)</f>
        <v>0</v>
      </c>
      <c r="H246" s="4" cm="1">
        <f t="array" ref="H246">SUM((MMULT(ISNUMBER(SEARCH(TRANSPOSE(category!$F$2:$F$9), A246))*1, ROW(category!$F$2:$F$9)^0)&gt;0)*1)</f>
        <v>0</v>
      </c>
    </row>
    <row r="247" spans="1:8" x14ac:dyDescent="0.45">
      <c r="A247" t="s">
        <v>524</v>
      </c>
      <c r="B247" s="6">
        <f t="shared" si="3"/>
        <v>6</v>
      </c>
      <c r="C247" s="4" cm="1">
        <f t="array" ref="C247">SUM((MMULT(ISNUMBER(SEARCH(TRANSPOSE(category!$A$2:$A$11), A247))*1, ROW(category!$A$2:$A$11)^0)&gt;0)*1)</f>
        <v>0</v>
      </c>
      <c r="D247" s="4" cm="1">
        <f t="array" ref="D247">SUM((MMULT(ISNUMBER(SEARCH(TRANSPOSE(category!$B$2:$B$25), A247))*1, ROW(category!$B$2:$B$25)^0)&gt;0)*1)</f>
        <v>1</v>
      </c>
      <c r="E247" s="4" cm="1">
        <f t="array" ref="E247">SUM((MMULT(ISNUMBER(SEARCH(TRANSPOSE(category!$C$2:$C$4), A247))*1, ROW(category!$C$2:$C$4)^0)&gt;0)*1)</f>
        <v>0</v>
      </c>
      <c r="F247" s="4" cm="1">
        <f t="array" ref="F247">SUM((MMULT(ISNUMBER(SEARCH(TRANSPOSE(category!$D$2:$D$10), A247))*1, ROW(category!$D$2:$D$10)^0)&gt;0)*1)</f>
        <v>0</v>
      </c>
      <c r="G247" s="4" cm="1">
        <f t="array" ref="G247">SUM((MMULT(ISNUMBER(SEARCH(TRANSPOSE(category!$E$2:$E$8), A247))*1, ROW(category!$E$2:$E$8)^0)&gt;0)*1)</f>
        <v>0</v>
      </c>
      <c r="H247" s="4" cm="1">
        <f t="array" ref="H247">SUM((MMULT(ISNUMBER(SEARCH(TRANSPOSE(category!$F$2:$F$9), A247))*1, ROW(category!$F$2:$F$9)^0)&gt;0)*1)</f>
        <v>0</v>
      </c>
    </row>
    <row r="248" spans="1:8" x14ac:dyDescent="0.45">
      <c r="A248" t="s">
        <v>526</v>
      </c>
      <c r="B248" s="6">
        <f t="shared" si="3"/>
        <v>17</v>
      </c>
      <c r="C248" s="4" cm="1">
        <f t="array" ref="C248">SUM((MMULT(ISNUMBER(SEARCH(TRANSPOSE(category!$A$2:$A$11), A248))*1, ROW(category!$A$2:$A$11)^0)&gt;0)*1)</f>
        <v>0</v>
      </c>
      <c r="D248" s="4" cm="1">
        <f t="array" ref="D248">SUM((MMULT(ISNUMBER(SEARCH(TRANSPOSE(category!$B$2:$B$25), A248))*1, ROW(category!$B$2:$B$25)^0)&gt;0)*1)</f>
        <v>1</v>
      </c>
      <c r="E248" s="4" cm="1">
        <f t="array" ref="E248">SUM((MMULT(ISNUMBER(SEARCH(TRANSPOSE(category!$C$2:$C$4), A248))*1, ROW(category!$C$2:$C$4)^0)&gt;0)*1)</f>
        <v>0</v>
      </c>
      <c r="F248" s="4" cm="1">
        <f t="array" ref="F248">SUM((MMULT(ISNUMBER(SEARCH(TRANSPOSE(category!$D$2:$D$10), A248))*1, ROW(category!$D$2:$D$10)^0)&gt;0)*1)</f>
        <v>0</v>
      </c>
      <c r="G248" s="4" cm="1">
        <f t="array" ref="G248">SUM((MMULT(ISNUMBER(SEARCH(TRANSPOSE(category!$E$2:$E$8), A248))*1, ROW(category!$E$2:$E$8)^0)&gt;0)*1)</f>
        <v>0</v>
      </c>
      <c r="H248" s="4" cm="1">
        <f t="array" ref="H248">SUM((MMULT(ISNUMBER(SEARCH(TRANSPOSE(category!$F$2:$F$9), A248))*1, ROW(category!$F$2:$F$9)^0)&gt;0)*1)</f>
        <v>0</v>
      </c>
    </row>
    <row r="249" spans="1:8" x14ac:dyDescent="0.45">
      <c r="A249" t="s">
        <v>528</v>
      </c>
      <c r="B249" s="6">
        <f t="shared" si="3"/>
        <v>17</v>
      </c>
      <c r="C249" s="4" cm="1">
        <f t="array" ref="C249">SUM((MMULT(ISNUMBER(SEARCH(TRANSPOSE(category!$A$2:$A$11), A249))*1, ROW(category!$A$2:$A$11)^0)&gt;0)*1)</f>
        <v>0</v>
      </c>
      <c r="D249" s="4" cm="1">
        <f t="array" ref="D249">SUM((MMULT(ISNUMBER(SEARCH(TRANSPOSE(category!$B$2:$B$25), A249))*1, ROW(category!$B$2:$B$25)^0)&gt;0)*1)</f>
        <v>1</v>
      </c>
      <c r="E249" s="4" cm="1">
        <f t="array" ref="E249">SUM((MMULT(ISNUMBER(SEARCH(TRANSPOSE(category!$C$2:$C$4), A249))*1, ROW(category!$C$2:$C$4)^0)&gt;0)*1)</f>
        <v>0</v>
      </c>
      <c r="F249" s="4" cm="1">
        <f t="array" ref="F249">SUM((MMULT(ISNUMBER(SEARCH(TRANSPOSE(category!$D$2:$D$10), A249))*1, ROW(category!$D$2:$D$10)^0)&gt;0)*1)</f>
        <v>0</v>
      </c>
      <c r="G249" s="4" cm="1">
        <f t="array" ref="G249">SUM((MMULT(ISNUMBER(SEARCH(TRANSPOSE(category!$E$2:$E$8), A249))*1, ROW(category!$E$2:$E$8)^0)&gt;0)*1)</f>
        <v>0</v>
      </c>
      <c r="H249" s="4" cm="1">
        <f t="array" ref="H249">SUM((MMULT(ISNUMBER(SEARCH(TRANSPOSE(category!$F$2:$F$9), A249))*1, ROW(category!$F$2:$F$9)^0)&gt;0)*1)</f>
        <v>0</v>
      </c>
    </row>
    <row r="250" spans="1:8" x14ac:dyDescent="0.45">
      <c r="A250" t="s">
        <v>530</v>
      </c>
      <c r="B250" s="6">
        <f t="shared" si="3"/>
        <v>11</v>
      </c>
      <c r="C250" s="4" cm="1">
        <f t="array" ref="C250">SUM((MMULT(ISNUMBER(SEARCH(TRANSPOSE(category!$A$2:$A$11), A250))*1, ROW(category!$A$2:$A$11)^0)&gt;0)*1)</f>
        <v>0</v>
      </c>
      <c r="D250" s="4" cm="1">
        <f t="array" ref="D250">SUM((MMULT(ISNUMBER(SEARCH(TRANSPOSE(category!$B$2:$B$25), A250))*1, ROW(category!$B$2:$B$25)^0)&gt;0)*1)</f>
        <v>0</v>
      </c>
      <c r="E250" s="4" cm="1">
        <f t="array" ref="E250">SUM((MMULT(ISNUMBER(SEARCH(TRANSPOSE(category!$C$2:$C$4), A250))*1, ROW(category!$C$2:$C$4)^0)&gt;0)*1)</f>
        <v>0</v>
      </c>
      <c r="F250" s="4" cm="1">
        <f t="array" ref="F250">SUM((MMULT(ISNUMBER(SEARCH(TRANSPOSE(category!$D$2:$D$10), A250))*1, ROW(category!$D$2:$D$10)^0)&gt;0)*1)</f>
        <v>0</v>
      </c>
      <c r="G250" s="4" cm="1">
        <f t="array" ref="G250">SUM((MMULT(ISNUMBER(SEARCH(TRANSPOSE(category!$E$2:$E$8), A250))*1, ROW(category!$E$2:$E$8)^0)&gt;0)*1)</f>
        <v>0</v>
      </c>
      <c r="H250" s="4" cm="1">
        <f t="array" ref="H250">SUM((MMULT(ISNUMBER(SEARCH(TRANSPOSE(category!$F$2:$F$9), A250))*1, ROW(category!$F$2:$F$9)^0)&gt;0)*1)</f>
        <v>1</v>
      </c>
    </row>
    <row r="251" spans="1:8" x14ac:dyDescent="0.45">
      <c r="A251" t="s">
        <v>532</v>
      </c>
      <c r="B251" s="6">
        <f t="shared" si="3"/>
        <v>8</v>
      </c>
      <c r="C251" s="4" cm="1">
        <f t="array" ref="C251">SUM((MMULT(ISNUMBER(SEARCH(TRANSPOSE(category!$A$2:$A$11), A251))*1, ROW(category!$A$2:$A$11)^0)&gt;0)*1)</f>
        <v>0</v>
      </c>
      <c r="D251" s="4" cm="1">
        <f t="array" ref="D251">SUM((MMULT(ISNUMBER(SEARCH(TRANSPOSE(category!$B$2:$B$25), A251))*1, ROW(category!$B$2:$B$25)^0)&gt;0)*1)</f>
        <v>1</v>
      </c>
      <c r="E251" s="4" cm="1">
        <f t="array" ref="E251">SUM((MMULT(ISNUMBER(SEARCH(TRANSPOSE(category!$C$2:$C$4), A251))*1, ROW(category!$C$2:$C$4)^0)&gt;0)*1)</f>
        <v>0</v>
      </c>
      <c r="F251" s="4" cm="1">
        <f t="array" ref="F251">SUM((MMULT(ISNUMBER(SEARCH(TRANSPOSE(category!$D$2:$D$10), A251))*1, ROW(category!$D$2:$D$10)^0)&gt;0)*1)</f>
        <v>0</v>
      </c>
      <c r="G251" s="4" cm="1">
        <f t="array" ref="G251">SUM((MMULT(ISNUMBER(SEARCH(TRANSPOSE(category!$E$2:$E$8), A251))*1, ROW(category!$E$2:$E$8)^0)&gt;0)*1)</f>
        <v>0</v>
      </c>
      <c r="H251" s="4" cm="1">
        <f t="array" ref="H251">SUM((MMULT(ISNUMBER(SEARCH(TRANSPOSE(category!$F$2:$F$9), A251))*1, ROW(category!$F$2:$F$9)^0)&gt;0)*1)</f>
        <v>0</v>
      </c>
    </row>
    <row r="252" spans="1:8" x14ac:dyDescent="0.45">
      <c r="A252" t="s">
        <v>534</v>
      </c>
      <c r="B252" s="6">
        <f t="shared" si="3"/>
        <v>15</v>
      </c>
      <c r="C252" s="4" cm="1">
        <f t="array" ref="C252">SUM((MMULT(ISNUMBER(SEARCH(TRANSPOSE(category!$A$2:$A$11), A252))*1, ROW(category!$A$2:$A$11)^0)&gt;0)*1)</f>
        <v>1</v>
      </c>
      <c r="D252" s="4" cm="1">
        <f t="array" ref="D252">SUM((MMULT(ISNUMBER(SEARCH(TRANSPOSE(category!$B$2:$B$25), A252))*1, ROW(category!$B$2:$B$25)^0)&gt;0)*1)</f>
        <v>1</v>
      </c>
      <c r="E252" s="4" cm="1">
        <f t="array" ref="E252">SUM((MMULT(ISNUMBER(SEARCH(TRANSPOSE(category!$C$2:$C$4), A252))*1, ROW(category!$C$2:$C$4)^0)&gt;0)*1)</f>
        <v>0</v>
      </c>
      <c r="F252" s="4" cm="1">
        <f t="array" ref="F252">SUM((MMULT(ISNUMBER(SEARCH(TRANSPOSE(category!$D$2:$D$10), A252))*1, ROW(category!$D$2:$D$10)^0)&gt;0)*1)</f>
        <v>1</v>
      </c>
      <c r="G252" s="4" cm="1">
        <f t="array" ref="G252">SUM((MMULT(ISNUMBER(SEARCH(TRANSPOSE(category!$E$2:$E$8), A252))*1, ROW(category!$E$2:$E$8)^0)&gt;0)*1)</f>
        <v>0</v>
      </c>
      <c r="H252" s="4" cm="1">
        <f t="array" ref="H252">SUM((MMULT(ISNUMBER(SEARCH(TRANSPOSE(category!$F$2:$F$9), A252))*1, ROW(category!$F$2:$F$9)^0)&gt;0)*1)</f>
        <v>0</v>
      </c>
    </row>
    <row r="253" spans="1:8" x14ac:dyDescent="0.45">
      <c r="A253" t="s">
        <v>536</v>
      </c>
      <c r="B253" s="6">
        <f t="shared" si="3"/>
        <v>9</v>
      </c>
      <c r="C253" s="4" cm="1">
        <f t="array" ref="C253">SUM((MMULT(ISNUMBER(SEARCH(TRANSPOSE(category!$A$2:$A$11), A253))*1, ROW(category!$A$2:$A$11)^0)&gt;0)*1)</f>
        <v>0</v>
      </c>
      <c r="D253" s="4" cm="1">
        <f t="array" ref="D253">SUM((MMULT(ISNUMBER(SEARCH(TRANSPOSE(category!$B$2:$B$25), A253))*1, ROW(category!$B$2:$B$25)^0)&gt;0)*1)</f>
        <v>1</v>
      </c>
      <c r="E253" s="4" cm="1">
        <f t="array" ref="E253">SUM((MMULT(ISNUMBER(SEARCH(TRANSPOSE(category!$C$2:$C$4), A253))*1, ROW(category!$C$2:$C$4)^0)&gt;0)*1)</f>
        <v>0</v>
      </c>
      <c r="F253" s="4" cm="1">
        <f t="array" ref="F253">SUM((MMULT(ISNUMBER(SEARCH(TRANSPOSE(category!$D$2:$D$10), A253))*1, ROW(category!$D$2:$D$10)^0)&gt;0)*1)</f>
        <v>0</v>
      </c>
      <c r="G253" s="4" cm="1">
        <f t="array" ref="G253">SUM((MMULT(ISNUMBER(SEARCH(TRANSPOSE(category!$E$2:$E$8), A253))*1, ROW(category!$E$2:$E$8)^0)&gt;0)*1)</f>
        <v>0</v>
      </c>
      <c r="H253" s="4" cm="1">
        <f t="array" ref="H253">SUM((MMULT(ISNUMBER(SEARCH(TRANSPOSE(category!$F$2:$F$9), A253))*1, ROW(category!$F$2:$F$9)^0)&gt;0)*1)</f>
        <v>0</v>
      </c>
    </row>
    <row r="254" spans="1:8" x14ac:dyDescent="0.45">
      <c r="A254" t="s">
        <v>538</v>
      </c>
      <c r="B254" s="6">
        <f t="shared" si="3"/>
        <v>16</v>
      </c>
      <c r="C254" s="4" cm="1">
        <f t="array" ref="C254">SUM((MMULT(ISNUMBER(SEARCH(TRANSPOSE(category!$A$2:$A$11), A254))*1, ROW(category!$A$2:$A$11)^0)&gt;0)*1)</f>
        <v>0</v>
      </c>
      <c r="D254" s="4" cm="1">
        <f t="array" ref="D254">SUM((MMULT(ISNUMBER(SEARCH(TRANSPOSE(category!$B$2:$B$25), A254))*1, ROW(category!$B$2:$B$25)^0)&gt;0)*1)</f>
        <v>1</v>
      </c>
      <c r="E254" s="4" cm="1">
        <f t="array" ref="E254">SUM((MMULT(ISNUMBER(SEARCH(TRANSPOSE(category!$C$2:$C$4), A254))*1, ROW(category!$C$2:$C$4)^0)&gt;0)*1)</f>
        <v>0</v>
      </c>
      <c r="F254" s="4" cm="1">
        <f t="array" ref="F254">SUM((MMULT(ISNUMBER(SEARCH(TRANSPOSE(category!$D$2:$D$10), A254))*1, ROW(category!$D$2:$D$10)^0)&gt;0)*1)</f>
        <v>1</v>
      </c>
      <c r="G254" s="4" cm="1">
        <f t="array" ref="G254">SUM((MMULT(ISNUMBER(SEARCH(TRANSPOSE(category!$E$2:$E$8), A254))*1, ROW(category!$E$2:$E$8)^0)&gt;0)*1)</f>
        <v>0</v>
      </c>
      <c r="H254" s="4" cm="1">
        <f t="array" ref="H254">SUM((MMULT(ISNUMBER(SEARCH(TRANSPOSE(category!$F$2:$F$9), A254))*1, ROW(category!$F$2:$F$9)^0)&gt;0)*1)</f>
        <v>0</v>
      </c>
    </row>
    <row r="255" spans="1:8" x14ac:dyDescent="0.45">
      <c r="A255" t="s">
        <v>540</v>
      </c>
      <c r="B255" s="6">
        <f t="shared" si="3"/>
        <v>19</v>
      </c>
      <c r="C255" s="4" cm="1">
        <f t="array" ref="C255">SUM((MMULT(ISNUMBER(SEARCH(TRANSPOSE(category!$A$2:$A$11), A255))*1, ROW(category!$A$2:$A$11)^0)&gt;0)*1)</f>
        <v>0</v>
      </c>
      <c r="D255" s="4" cm="1">
        <f t="array" ref="D255">SUM((MMULT(ISNUMBER(SEARCH(TRANSPOSE(category!$B$2:$B$25), A255))*1, ROW(category!$B$2:$B$25)^0)&gt;0)*1)</f>
        <v>0</v>
      </c>
      <c r="E255" s="4" cm="1">
        <f t="array" ref="E255">SUM((MMULT(ISNUMBER(SEARCH(TRANSPOSE(category!$C$2:$C$4), A255))*1, ROW(category!$C$2:$C$4)^0)&gt;0)*1)</f>
        <v>0</v>
      </c>
      <c r="F255" s="4" cm="1">
        <f t="array" ref="F255">SUM((MMULT(ISNUMBER(SEARCH(TRANSPOSE(category!$D$2:$D$10), A255))*1, ROW(category!$D$2:$D$10)^0)&gt;0)*1)</f>
        <v>0</v>
      </c>
      <c r="G255" s="4" cm="1">
        <f t="array" ref="G255">SUM((MMULT(ISNUMBER(SEARCH(TRANSPOSE(category!$E$2:$E$8), A255))*1, ROW(category!$E$2:$E$8)^0)&gt;0)*1)</f>
        <v>0</v>
      </c>
      <c r="H255" s="4" cm="1">
        <f t="array" ref="H255">SUM((MMULT(ISNUMBER(SEARCH(TRANSPOSE(category!$F$2:$F$9), A255))*1, ROW(category!$F$2:$F$9)^0)&gt;0)*1)</f>
        <v>1</v>
      </c>
    </row>
    <row r="256" spans="1:8" x14ac:dyDescent="0.45">
      <c r="A256" t="s">
        <v>542</v>
      </c>
      <c r="B256" s="6">
        <f t="shared" si="3"/>
        <v>25</v>
      </c>
      <c r="C256" s="4" cm="1">
        <f t="array" ref="C256">SUM((MMULT(ISNUMBER(SEARCH(TRANSPOSE(category!$A$2:$A$11), A256))*1, ROW(category!$A$2:$A$11)^0)&gt;0)*1)</f>
        <v>0</v>
      </c>
      <c r="D256" s="4" cm="1">
        <f t="array" ref="D256">SUM((MMULT(ISNUMBER(SEARCH(TRANSPOSE(category!$B$2:$B$25), A256))*1, ROW(category!$B$2:$B$25)^0)&gt;0)*1)</f>
        <v>1</v>
      </c>
      <c r="E256" s="4" cm="1">
        <f t="array" ref="E256">SUM((MMULT(ISNUMBER(SEARCH(TRANSPOSE(category!$C$2:$C$4), A256))*1, ROW(category!$C$2:$C$4)^0)&gt;0)*1)</f>
        <v>0</v>
      </c>
      <c r="F256" s="4" cm="1">
        <f t="array" ref="F256">SUM((MMULT(ISNUMBER(SEARCH(TRANSPOSE(category!$D$2:$D$10), A256))*1, ROW(category!$D$2:$D$10)^0)&gt;0)*1)</f>
        <v>1</v>
      </c>
      <c r="G256" s="4" cm="1">
        <f t="array" ref="G256">SUM((MMULT(ISNUMBER(SEARCH(TRANSPOSE(category!$E$2:$E$8), A256))*1, ROW(category!$E$2:$E$8)^0)&gt;0)*1)</f>
        <v>0</v>
      </c>
      <c r="H256" s="4" cm="1">
        <f t="array" ref="H256">SUM((MMULT(ISNUMBER(SEARCH(TRANSPOSE(category!$F$2:$F$9), A256))*1, ROW(category!$F$2:$F$9)^0)&gt;0)*1)</f>
        <v>0</v>
      </c>
    </row>
    <row r="257" spans="1:8" x14ac:dyDescent="0.45">
      <c r="A257" t="s">
        <v>544</v>
      </c>
      <c r="B257" s="6">
        <f t="shared" si="3"/>
        <v>9</v>
      </c>
      <c r="C257" s="4" cm="1">
        <f t="array" ref="C257">SUM((MMULT(ISNUMBER(SEARCH(TRANSPOSE(category!$A$2:$A$11), A257))*1, ROW(category!$A$2:$A$11)^0)&gt;0)*1)</f>
        <v>0</v>
      </c>
      <c r="D257" s="4" cm="1">
        <f t="array" ref="D257">SUM((MMULT(ISNUMBER(SEARCH(TRANSPOSE(category!$B$2:$B$25), A257))*1, ROW(category!$B$2:$B$25)^0)&gt;0)*1)</f>
        <v>1</v>
      </c>
      <c r="E257" s="4" cm="1">
        <f t="array" ref="E257">SUM((MMULT(ISNUMBER(SEARCH(TRANSPOSE(category!$C$2:$C$4), A257))*1, ROW(category!$C$2:$C$4)^0)&gt;0)*1)</f>
        <v>0</v>
      </c>
      <c r="F257" s="4" cm="1">
        <f t="array" ref="F257">SUM((MMULT(ISNUMBER(SEARCH(TRANSPOSE(category!$D$2:$D$10), A257))*1, ROW(category!$D$2:$D$10)^0)&gt;0)*1)</f>
        <v>1</v>
      </c>
      <c r="G257" s="4" cm="1">
        <f t="array" ref="G257">SUM((MMULT(ISNUMBER(SEARCH(TRANSPOSE(category!$E$2:$E$8), A257))*1, ROW(category!$E$2:$E$8)^0)&gt;0)*1)</f>
        <v>0</v>
      </c>
      <c r="H257" s="4" cm="1">
        <f t="array" ref="H257">SUM((MMULT(ISNUMBER(SEARCH(TRANSPOSE(category!$F$2:$F$9), A257))*1, ROW(category!$F$2:$F$9)^0)&gt;0)*1)</f>
        <v>1</v>
      </c>
    </row>
    <row r="258" spans="1:8" x14ac:dyDescent="0.45">
      <c r="A258" t="s">
        <v>546</v>
      </c>
      <c r="B258" s="6">
        <f t="shared" si="3"/>
        <v>19</v>
      </c>
      <c r="C258" s="4" cm="1">
        <f t="array" ref="C258">SUM((MMULT(ISNUMBER(SEARCH(TRANSPOSE(category!$A$2:$A$11), A258))*1, ROW(category!$A$2:$A$11)^0)&gt;0)*1)</f>
        <v>0</v>
      </c>
      <c r="D258" s="4" cm="1">
        <f t="array" ref="D258">SUM((MMULT(ISNUMBER(SEARCH(TRANSPOSE(category!$B$2:$B$25), A258))*1, ROW(category!$B$2:$B$25)^0)&gt;0)*1)</f>
        <v>1</v>
      </c>
      <c r="E258" s="4" cm="1">
        <f t="array" ref="E258">SUM((MMULT(ISNUMBER(SEARCH(TRANSPOSE(category!$C$2:$C$4), A258))*1, ROW(category!$C$2:$C$4)^0)&gt;0)*1)</f>
        <v>0</v>
      </c>
      <c r="F258" s="4" cm="1">
        <f t="array" ref="F258">SUM((MMULT(ISNUMBER(SEARCH(TRANSPOSE(category!$D$2:$D$10), A258))*1, ROW(category!$D$2:$D$10)^0)&gt;0)*1)</f>
        <v>0</v>
      </c>
      <c r="G258" s="4" cm="1">
        <f t="array" ref="G258">SUM((MMULT(ISNUMBER(SEARCH(TRANSPOSE(category!$E$2:$E$8), A258))*1, ROW(category!$E$2:$E$8)^0)&gt;0)*1)</f>
        <v>0</v>
      </c>
      <c r="H258" s="4" cm="1">
        <f t="array" ref="H258">SUM((MMULT(ISNUMBER(SEARCH(TRANSPOSE(category!$F$2:$F$9), A258))*1, ROW(category!$F$2:$F$9)^0)&gt;0)*1)</f>
        <v>0</v>
      </c>
    </row>
    <row r="259" spans="1:8" x14ac:dyDescent="0.45">
      <c r="A259" t="s">
        <v>548</v>
      </c>
      <c r="B259" s="6">
        <f t="shared" ref="B259:B322" si="4">LEN(A259)-LEN(SUBSTITUTE(A259," ",""))+1</f>
        <v>19</v>
      </c>
      <c r="C259" s="4" cm="1">
        <f t="array" ref="C259">SUM((MMULT(ISNUMBER(SEARCH(TRANSPOSE(category!$A$2:$A$11), A259))*1, ROW(category!$A$2:$A$11)^0)&gt;0)*1)</f>
        <v>0</v>
      </c>
      <c r="D259" s="4" cm="1">
        <f t="array" ref="D259">SUM((MMULT(ISNUMBER(SEARCH(TRANSPOSE(category!$B$2:$B$25), A259))*1, ROW(category!$B$2:$B$25)^0)&gt;0)*1)</f>
        <v>1</v>
      </c>
      <c r="E259" s="4" cm="1">
        <f t="array" ref="E259">SUM((MMULT(ISNUMBER(SEARCH(TRANSPOSE(category!$C$2:$C$4), A259))*1, ROW(category!$C$2:$C$4)^0)&gt;0)*1)</f>
        <v>0</v>
      </c>
      <c r="F259" s="4" cm="1">
        <f t="array" ref="F259">SUM((MMULT(ISNUMBER(SEARCH(TRANSPOSE(category!$D$2:$D$10), A259))*1, ROW(category!$D$2:$D$10)^0)&gt;0)*1)</f>
        <v>0</v>
      </c>
      <c r="G259" s="4" cm="1">
        <f t="array" ref="G259">SUM((MMULT(ISNUMBER(SEARCH(TRANSPOSE(category!$E$2:$E$8), A259))*1, ROW(category!$E$2:$E$8)^0)&gt;0)*1)</f>
        <v>0</v>
      </c>
      <c r="H259" s="4" cm="1">
        <f t="array" ref="H259">SUM((MMULT(ISNUMBER(SEARCH(TRANSPOSE(category!$F$2:$F$9), A259))*1, ROW(category!$F$2:$F$9)^0)&gt;0)*1)</f>
        <v>0</v>
      </c>
    </row>
    <row r="260" spans="1:8" x14ac:dyDescent="0.45">
      <c r="A260" t="s">
        <v>550</v>
      </c>
      <c r="B260" s="6">
        <f t="shared" si="4"/>
        <v>10</v>
      </c>
      <c r="C260" s="4" cm="1">
        <f t="array" ref="C260">SUM((MMULT(ISNUMBER(SEARCH(TRANSPOSE(category!$A$2:$A$11), A260))*1, ROW(category!$A$2:$A$11)^0)&gt;0)*1)</f>
        <v>1</v>
      </c>
      <c r="D260" s="4" cm="1">
        <f t="array" ref="D260">SUM((MMULT(ISNUMBER(SEARCH(TRANSPOSE(category!$B$2:$B$25), A260))*1, ROW(category!$B$2:$B$25)^0)&gt;0)*1)</f>
        <v>1</v>
      </c>
      <c r="E260" s="4" cm="1">
        <f t="array" ref="E260">SUM((MMULT(ISNUMBER(SEARCH(TRANSPOSE(category!$C$2:$C$4), A260))*1, ROW(category!$C$2:$C$4)^0)&gt;0)*1)</f>
        <v>0</v>
      </c>
      <c r="F260" s="4" cm="1">
        <f t="array" ref="F260">SUM((MMULT(ISNUMBER(SEARCH(TRANSPOSE(category!$D$2:$D$10), A260))*1, ROW(category!$D$2:$D$10)^0)&gt;0)*1)</f>
        <v>1</v>
      </c>
      <c r="G260" s="4" cm="1">
        <f t="array" ref="G260">SUM((MMULT(ISNUMBER(SEARCH(TRANSPOSE(category!$E$2:$E$8), A260))*1, ROW(category!$E$2:$E$8)^0)&gt;0)*1)</f>
        <v>0</v>
      </c>
      <c r="H260" s="4" cm="1">
        <f t="array" ref="H260">SUM((MMULT(ISNUMBER(SEARCH(TRANSPOSE(category!$F$2:$F$9), A260))*1, ROW(category!$F$2:$F$9)^0)&gt;0)*1)</f>
        <v>0</v>
      </c>
    </row>
    <row r="261" spans="1:8" x14ac:dyDescent="0.45">
      <c r="A261" t="s">
        <v>552</v>
      </c>
      <c r="B261" s="6">
        <f t="shared" si="4"/>
        <v>18</v>
      </c>
      <c r="C261" s="4" cm="1">
        <f t="array" ref="C261">SUM((MMULT(ISNUMBER(SEARCH(TRANSPOSE(category!$A$2:$A$11), A261))*1, ROW(category!$A$2:$A$11)^0)&gt;0)*1)</f>
        <v>0</v>
      </c>
      <c r="D261" s="4" cm="1">
        <f t="array" ref="D261">SUM((MMULT(ISNUMBER(SEARCH(TRANSPOSE(category!$B$2:$B$25), A261))*1, ROW(category!$B$2:$B$25)^0)&gt;0)*1)</f>
        <v>1</v>
      </c>
      <c r="E261" s="4" cm="1">
        <f t="array" ref="E261">SUM((MMULT(ISNUMBER(SEARCH(TRANSPOSE(category!$C$2:$C$4), A261))*1, ROW(category!$C$2:$C$4)^0)&gt;0)*1)</f>
        <v>1</v>
      </c>
      <c r="F261" s="4" cm="1">
        <f t="array" ref="F261">SUM((MMULT(ISNUMBER(SEARCH(TRANSPOSE(category!$D$2:$D$10), A261))*1, ROW(category!$D$2:$D$10)^0)&gt;0)*1)</f>
        <v>0</v>
      </c>
      <c r="G261" s="4" cm="1">
        <f t="array" ref="G261">SUM((MMULT(ISNUMBER(SEARCH(TRANSPOSE(category!$E$2:$E$8), A261))*1, ROW(category!$E$2:$E$8)^0)&gt;0)*1)</f>
        <v>0</v>
      </c>
      <c r="H261" s="4" cm="1">
        <f t="array" ref="H261">SUM((MMULT(ISNUMBER(SEARCH(TRANSPOSE(category!$F$2:$F$9), A261))*1, ROW(category!$F$2:$F$9)^0)&gt;0)*1)</f>
        <v>0</v>
      </c>
    </row>
    <row r="262" spans="1:8" x14ac:dyDescent="0.45">
      <c r="A262" t="s">
        <v>554</v>
      </c>
      <c r="B262" s="6">
        <f t="shared" si="4"/>
        <v>18</v>
      </c>
      <c r="C262" s="4" cm="1">
        <f t="array" ref="C262">SUM((MMULT(ISNUMBER(SEARCH(TRANSPOSE(category!$A$2:$A$11), A262))*1, ROW(category!$A$2:$A$11)^0)&gt;0)*1)</f>
        <v>0</v>
      </c>
      <c r="D262" s="4" cm="1">
        <f t="array" ref="D262">SUM((MMULT(ISNUMBER(SEARCH(TRANSPOSE(category!$B$2:$B$25), A262))*1, ROW(category!$B$2:$B$25)^0)&gt;0)*1)</f>
        <v>1</v>
      </c>
      <c r="E262" s="4" cm="1">
        <f t="array" ref="E262">SUM((MMULT(ISNUMBER(SEARCH(TRANSPOSE(category!$C$2:$C$4), A262))*1, ROW(category!$C$2:$C$4)^0)&gt;0)*1)</f>
        <v>0</v>
      </c>
      <c r="F262" s="4" cm="1">
        <f t="array" ref="F262">SUM((MMULT(ISNUMBER(SEARCH(TRANSPOSE(category!$D$2:$D$10), A262))*1, ROW(category!$D$2:$D$10)^0)&gt;0)*1)</f>
        <v>1</v>
      </c>
      <c r="G262" s="4" cm="1">
        <f t="array" ref="G262">SUM((MMULT(ISNUMBER(SEARCH(TRANSPOSE(category!$E$2:$E$8), A262))*1, ROW(category!$E$2:$E$8)^0)&gt;0)*1)</f>
        <v>0</v>
      </c>
      <c r="H262" s="4" cm="1">
        <f t="array" ref="H262">SUM((MMULT(ISNUMBER(SEARCH(TRANSPOSE(category!$F$2:$F$9), A262))*1, ROW(category!$F$2:$F$9)^0)&gt;0)*1)</f>
        <v>0</v>
      </c>
    </row>
    <row r="263" spans="1:8" x14ac:dyDescent="0.45">
      <c r="A263" t="s">
        <v>556</v>
      </c>
      <c r="B263" s="6">
        <f t="shared" si="4"/>
        <v>5</v>
      </c>
      <c r="C263" s="4" cm="1">
        <f t="array" ref="C263">SUM((MMULT(ISNUMBER(SEARCH(TRANSPOSE(category!$A$2:$A$11), A263))*1, ROW(category!$A$2:$A$11)^0)&gt;0)*1)</f>
        <v>0</v>
      </c>
      <c r="D263" s="4" cm="1">
        <f t="array" ref="D263">SUM((MMULT(ISNUMBER(SEARCH(TRANSPOSE(category!$B$2:$B$25), A263))*1, ROW(category!$B$2:$B$25)^0)&gt;0)*1)</f>
        <v>1</v>
      </c>
      <c r="E263" s="4" cm="1">
        <f t="array" ref="E263">SUM((MMULT(ISNUMBER(SEARCH(TRANSPOSE(category!$C$2:$C$4), A263))*1, ROW(category!$C$2:$C$4)^0)&gt;0)*1)</f>
        <v>0</v>
      </c>
      <c r="F263" s="4" cm="1">
        <f t="array" ref="F263">SUM((MMULT(ISNUMBER(SEARCH(TRANSPOSE(category!$D$2:$D$10), A263))*1, ROW(category!$D$2:$D$10)^0)&gt;0)*1)</f>
        <v>0</v>
      </c>
      <c r="G263" s="4" cm="1">
        <f t="array" ref="G263">SUM((MMULT(ISNUMBER(SEARCH(TRANSPOSE(category!$E$2:$E$8), A263))*1, ROW(category!$E$2:$E$8)^0)&gt;0)*1)</f>
        <v>0</v>
      </c>
      <c r="H263" s="4" cm="1">
        <f t="array" ref="H263">SUM((MMULT(ISNUMBER(SEARCH(TRANSPOSE(category!$F$2:$F$9), A263))*1, ROW(category!$F$2:$F$9)^0)&gt;0)*1)</f>
        <v>0</v>
      </c>
    </row>
    <row r="264" spans="1:8" x14ac:dyDescent="0.45">
      <c r="A264" t="s">
        <v>558</v>
      </c>
      <c r="B264" s="6">
        <f t="shared" si="4"/>
        <v>57</v>
      </c>
      <c r="C264" s="4" cm="1">
        <f t="array" ref="C264">SUM((MMULT(ISNUMBER(SEARCH(TRANSPOSE(category!$A$2:$A$11), A264))*1, ROW(category!$A$2:$A$11)^0)&gt;0)*1)</f>
        <v>0</v>
      </c>
      <c r="D264" s="4" cm="1">
        <f t="array" ref="D264">SUM((MMULT(ISNUMBER(SEARCH(TRANSPOSE(category!$B$2:$B$25), A264))*1, ROW(category!$B$2:$B$25)^0)&gt;0)*1)</f>
        <v>1</v>
      </c>
      <c r="E264" s="4" cm="1">
        <f t="array" ref="E264">SUM((MMULT(ISNUMBER(SEARCH(TRANSPOSE(category!$C$2:$C$4), A264))*1, ROW(category!$C$2:$C$4)^0)&gt;0)*1)</f>
        <v>0</v>
      </c>
      <c r="F264" s="4" cm="1">
        <f t="array" ref="F264">SUM((MMULT(ISNUMBER(SEARCH(TRANSPOSE(category!$D$2:$D$10), A264))*1, ROW(category!$D$2:$D$10)^0)&gt;0)*1)</f>
        <v>0</v>
      </c>
      <c r="G264" s="4" cm="1">
        <f t="array" ref="G264">SUM((MMULT(ISNUMBER(SEARCH(TRANSPOSE(category!$E$2:$E$8), A264))*1, ROW(category!$E$2:$E$8)^0)&gt;0)*1)</f>
        <v>0</v>
      </c>
      <c r="H264" s="4" cm="1">
        <f t="array" ref="H264">SUM((MMULT(ISNUMBER(SEARCH(TRANSPOSE(category!$F$2:$F$9), A264))*1, ROW(category!$F$2:$F$9)^0)&gt;0)*1)</f>
        <v>0</v>
      </c>
    </row>
    <row r="265" spans="1:8" x14ac:dyDescent="0.45">
      <c r="A265" t="s">
        <v>560</v>
      </c>
      <c r="B265" s="6">
        <f t="shared" si="4"/>
        <v>10</v>
      </c>
      <c r="C265" s="4" cm="1">
        <f t="array" ref="C265">SUM((MMULT(ISNUMBER(SEARCH(TRANSPOSE(category!$A$2:$A$11), A265))*1, ROW(category!$A$2:$A$11)^0)&gt;0)*1)</f>
        <v>0</v>
      </c>
      <c r="D265" s="4" cm="1">
        <f t="array" ref="D265">SUM((MMULT(ISNUMBER(SEARCH(TRANSPOSE(category!$B$2:$B$25), A265))*1, ROW(category!$B$2:$B$25)^0)&gt;0)*1)</f>
        <v>1</v>
      </c>
      <c r="E265" s="4" cm="1">
        <f t="array" ref="E265">SUM((MMULT(ISNUMBER(SEARCH(TRANSPOSE(category!$C$2:$C$4), A265))*1, ROW(category!$C$2:$C$4)^0)&gt;0)*1)</f>
        <v>0</v>
      </c>
      <c r="F265" s="4" cm="1">
        <f t="array" ref="F265">SUM((MMULT(ISNUMBER(SEARCH(TRANSPOSE(category!$D$2:$D$10), A265))*1, ROW(category!$D$2:$D$10)^0)&gt;0)*1)</f>
        <v>1</v>
      </c>
      <c r="G265" s="4" cm="1">
        <f t="array" ref="G265">SUM((MMULT(ISNUMBER(SEARCH(TRANSPOSE(category!$E$2:$E$8), A265))*1, ROW(category!$E$2:$E$8)^0)&gt;0)*1)</f>
        <v>0</v>
      </c>
      <c r="H265" s="4" cm="1">
        <f t="array" ref="H265">SUM((MMULT(ISNUMBER(SEARCH(TRANSPOSE(category!$F$2:$F$9), A265))*1, ROW(category!$F$2:$F$9)^0)&gt;0)*1)</f>
        <v>0</v>
      </c>
    </row>
    <row r="266" spans="1:8" x14ac:dyDescent="0.45">
      <c r="A266" t="s">
        <v>562</v>
      </c>
      <c r="B266" s="6">
        <f t="shared" si="4"/>
        <v>13</v>
      </c>
      <c r="C266" s="4" cm="1">
        <f t="array" ref="C266">SUM((MMULT(ISNUMBER(SEARCH(TRANSPOSE(category!$A$2:$A$11), A266))*1, ROW(category!$A$2:$A$11)^0)&gt;0)*1)</f>
        <v>0</v>
      </c>
      <c r="D266" s="4" cm="1">
        <f t="array" ref="D266">SUM((MMULT(ISNUMBER(SEARCH(TRANSPOSE(category!$B$2:$B$25), A266))*1, ROW(category!$B$2:$B$25)^0)&gt;0)*1)</f>
        <v>1</v>
      </c>
      <c r="E266" s="4" cm="1">
        <f t="array" ref="E266">SUM((MMULT(ISNUMBER(SEARCH(TRANSPOSE(category!$C$2:$C$4), A266))*1, ROW(category!$C$2:$C$4)^0)&gt;0)*1)</f>
        <v>0</v>
      </c>
      <c r="F266" s="4" cm="1">
        <f t="array" ref="F266">SUM((MMULT(ISNUMBER(SEARCH(TRANSPOSE(category!$D$2:$D$10), A266))*1, ROW(category!$D$2:$D$10)^0)&gt;0)*1)</f>
        <v>0</v>
      </c>
      <c r="G266" s="4" cm="1">
        <f t="array" ref="G266">SUM((MMULT(ISNUMBER(SEARCH(TRANSPOSE(category!$E$2:$E$8), A266))*1, ROW(category!$E$2:$E$8)^0)&gt;0)*1)</f>
        <v>0</v>
      </c>
      <c r="H266" s="4" cm="1">
        <f t="array" ref="H266">SUM((MMULT(ISNUMBER(SEARCH(TRANSPOSE(category!$F$2:$F$9), A266))*1, ROW(category!$F$2:$F$9)^0)&gt;0)*1)</f>
        <v>0</v>
      </c>
    </row>
    <row r="267" spans="1:8" x14ac:dyDescent="0.45">
      <c r="A267" t="s">
        <v>564</v>
      </c>
      <c r="B267" s="6">
        <f t="shared" si="4"/>
        <v>19</v>
      </c>
      <c r="C267" s="4" cm="1">
        <f t="array" ref="C267">SUM((MMULT(ISNUMBER(SEARCH(TRANSPOSE(category!$A$2:$A$11), A267))*1, ROW(category!$A$2:$A$11)^0)&gt;0)*1)</f>
        <v>0</v>
      </c>
      <c r="D267" s="4" cm="1">
        <f t="array" ref="D267">SUM((MMULT(ISNUMBER(SEARCH(TRANSPOSE(category!$B$2:$B$25), A267))*1, ROW(category!$B$2:$B$25)^0)&gt;0)*1)</f>
        <v>1</v>
      </c>
      <c r="E267" s="4" cm="1">
        <f t="array" ref="E267">SUM((MMULT(ISNUMBER(SEARCH(TRANSPOSE(category!$C$2:$C$4), A267))*1, ROW(category!$C$2:$C$4)^0)&gt;0)*1)</f>
        <v>0</v>
      </c>
      <c r="F267" s="4" cm="1">
        <f t="array" ref="F267">SUM((MMULT(ISNUMBER(SEARCH(TRANSPOSE(category!$D$2:$D$10), A267))*1, ROW(category!$D$2:$D$10)^0)&gt;0)*1)</f>
        <v>1</v>
      </c>
      <c r="G267" s="4" cm="1">
        <f t="array" ref="G267">SUM((MMULT(ISNUMBER(SEARCH(TRANSPOSE(category!$E$2:$E$8), A267))*1, ROW(category!$E$2:$E$8)^0)&gt;0)*1)</f>
        <v>0</v>
      </c>
      <c r="H267" s="4" cm="1">
        <f t="array" ref="H267">SUM((MMULT(ISNUMBER(SEARCH(TRANSPOSE(category!$F$2:$F$9), A267))*1, ROW(category!$F$2:$F$9)^0)&gt;0)*1)</f>
        <v>1</v>
      </c>
    </row>
    <row r="268" spans="1:8" x14ac:dyDescent="0.45">
      <c r="A268" t="s">
        <v>566</v>
      </c>
      <c r="B268" s="6">
        <f t="shared" si="4"/>
        <v>20</v>
      </c>
      <c r="C268" s="4" cm="1">
        <f t="array" ref="C268">SUM((MMULT(ISNUMBER(SEARCH(TRANSPOSE(category!$A$2:$A$11), A268))*1, ROW(category!$A$2:$A$11)^0)&gt;0)*1)</f>
        <v>0</v>
      </c>
      <c r="D268" s="4" cm="1">
        <f t="array" ref="D268">SUM((MMULT(ISNUMBER(SEARCH(TRANSPOSE(category!$B$2:$B$25), A268))*1, ROW(category!$B$2:$B$25)^0)&gt;0)*1)</f>
        <v>1</v>
      </c>
      <c r="E268" s="4" cm="1">
        <f t="array" ref="E268">SUM((MMULT(ISNUMBER(SEARCH(TRANSPOSE(category!$C$2:$C$4), A268))*1, ROW(category!$C$2:$C$4)^0)&gt;0)*1)</f>
        <v>0</v>
      </c>
      <c r="F268" s="4" cm="1">
        <f t="array" ref="F268">SUM((MMULT(ISNUMBER(SEARCH(TRANSPOSE(category!$D$2:$D$10), A268))*1, ROW(category!$D$2:$D$10)^0)&gt;0)*1)</f>
        <v>1</v>
      </c>
      <c r="G268" s="4" cm="1">
        <f t="array" ref="G268">SUM((MMULT(ISNUMBER(SEARCH(TRANSPOSE(category!$E$2:$E$8), A268))*1, ROW(category!$E$2:$E$8)^0)&gt;0)*1)</f>
        <v>0</v>
      </c>
      <c r="H268" s="4" cm="1">
        <f t="array" ref="H268">SUM((MMULT(ISNUMBER(SEARCH(TRANSPOSE(category!$F$2:$F$9), A268))*1, ROW(category!$F$2:$F$9)^0)&gt;0)*1)</f>
        <v>0</v>
      </c>
    </row>
    <row r="269" spans="1:8" x14ac:dyDescent="0.45">
      <c r="A269" t="s">
        <v>568</v>
      </c>
      <c r="B269" s="6">
        <f t="shared" si="4"/>
        <v>18</v>
      </c>
      <c r="C269" s="4" cm="1">
        <f t="array" ref="C269">SUM((MMULT(ISNUMBER(SEARCH(TRANSPOSE(category!$A$2:$A$11), A269))*1, ROW(category!$A$2:$A$11)^0)&gt;0)*1)</f>
        <v>0</v>
      </c>
      <c r="D269" s="4" cm="1">
        <f t="array" ref="D269">SUM((MMULT(ISNUMBER(SEARCH(TRANSPOSE(category!$B$2:$B$25), A269))*1, ROW(category!$B$2:$B$25)^0)&gt;0)*1)</f>
        <v>1</v>
      </c>
      <c r="E269" s="4" cm="1">
        <f t="array" ref="E269">SUM((MMULT(ISNUMBER(SEARCH(TRANSPOSE(category!$C$2:$C$4), A269))*1, ROW(category!$C$2:$C$4)^0)&gt;0)*1)</f>
        <v>0</v>
      </c>
      <c r="F269" s="4" cm="1">
        <f t="array" ref="F269">SUM((MMULT(ISNUMBER(SEARCH(TRANSPOSE(category!$D$2:$D$10), A269))*1, ROW(category!$D$2:$D$10)^0)&gt;0)*1)</f>
        <v>0</v>
      </c>
      <c r="G269" s="4" cm="1">
        <f t="array" ref="G269">SUM((MMULT(ISNUMBER(SEARCH(TRANSPOSE(category!$E$2:$E$8), A269))*1, ROW(category!$E$2:$E$8)^0)&gt;0)*1)</f>
        <v>0</v>
      </c>
      <c r="H269" s="4" cm="1">
        <f t="array" ref="H269">SUM((MMULT(ISNUMBER(SEARCH(TRANSPOSE(category!$F$2:$F$9), A269))*1, ROW(category!$F$2:$F$9)^0)&gt;0)*1)</f>
        <v>0</v>
      </c>
    </row>
    <row r="270" spans="1:8" x14ac:dyDescent="0.45">
      <c r="A270" t="s">
        <v>570</v>
      </c>
      <c r="B270" s="6">
        <f t="shared" si="4"/>
        <v>2</v>
      </c>
      <c r="C270" s="4" cm="1">
        <f t="array" ref="C270">SUM((MMULT(ISNUMBER(SEARCH(TRANSPOSE(category!$A$2:$A$11), A270))*1, ROW(category!$A$2:$A$11)^0)&gt;0)*1)</f>
        <v>0</v>
      </c>
      <c r="D270" s="4" cm="1">
        <f t="array" ref="D270">SUM((MMULT(ISNUMBER(SEARCH(TRANSPOSE(category!$B$2:$B$25), A270))*1, ROW(category!$B$2:$B$25)^0)&gt;0)*1)</f>
        <v>1</v>
      </c>
      <c r="E270" s="4" cm="1">
        <f t="array" ref="E270">SUM((MMULT(ISNUMBER(SEARCH(TRANSPOSE(category!$C$2:$C$4), A270))*1, ROW(category!$C$2:$C$4)^0)&gt;0)*1)</f>
        <v>0</v>
      </c>
      <c r="F270" s="4" cm="1">
        <f t="array" ref="F270">SUM((MMULT(ISNUMBER(SEARCH(TRANSPOSE(category!$D$2:$D$10), A270))*1, ROW(category!$D$2:$D$10)^0)&gt;0)*1)</f>
        <v>0</v>
      </c>
      <c r="G270" s="4" cm="1">
        <f t="array" ref="G270">SUM((MMULT(ISNUMBER(SEARCH(TRANSPOSE(category!$E$2:$E$8), A270))*1, ROW(category!$E$2:$E$8)^0)&gt;0)*1)</f>
        <v>0</v>
      </c>
      <c r="H270" s="4" cm="1">
        <f t="array" ref="H270">SUM((MMULT(ISNUMBER(SEARCH(TRANSPOSE(category!$F$2:$F$9), A270))*1, ROW(category!$F$2:$F$9)^0)&gt;0)*1)</f>
        <v>0</v>
      </c>
    </row>
    <row r="271" spans="1:8" x14ac:dyDescent="0.45">
      <c r="A271" t="s">
        <v>572</v>
      </c>
      <c r="B271" s="6">
        <f t="shared" si="4"/>
        <v>6</v>
      </c>
      <c r="C271" s="4" cm="1">
        <f t="array" ref="C271">SUM((MMULT(ISNUMBER(SEARCH(TRANSPOSE(category!$A$2:$A$11), A271))*1, ROW(category!$A$2:$A$11)^0)&gt;0)*1)</f>
        <v>0</v>
      </c>
      <c r="D271" s="4" cm="1">
        <f t="array" ref="D271">SUM((MMULT(ISNUMBER(SEARCH(TRANSPOSE(category!$B$2:$B$25), A271))*1, ROW(category!$B$2:$B$25)^0)&gt;0)*1)</f>
        <v>1</v>
      </c>
      <c r="E271" s="4" cm="1">
        <f t="array" ref="E271">SUM((MMULT(ISNUMBER(SEARCH(TRANSPOSE(category!$C$2:$C$4), A271))*1, ROW(category!$C$2:$C$4)^0)&gt;0)*1)</f>
        <v>0</v>
      </c>
      <c r="F271" s="4" cm="1">
        <f t="array" ref="F271">SUM((MMULT(ISNUMBER(SEARCH(TRANSPOSE(category!$D$2:$D$10), A271))*1, ROW(category!$D$2:$D$10)^0)&gt;0)*1)</f>
        <v>0</v>
      </c>
      <c r="G271" s="4" cm="1">
        <f t="array" ref="G271">SUM((MMULT(ISNUMBER(SEARCH(TRANSPOSE(category!$E$2:$E$8), A271))*1, ROW(category!$E$2:$E$8)^0)&gt;0)*1)</f>
        <v>0</v>
      </c>
      <c r="H271" s="4" cm="1">
        <f t="array" ref="H271">SUM((MMULT(ISNUMBER(SEARCH(TRANSPOSE(category!$F$2:$F$9), A271))*1, ROW(category!$F$2:$F$9)^0)&gt;0)*1)</f>
        <v>0</v>
      </c>
    </row>
    <row r="272" spans="1:8" x14ac:dyDescent="0.45">
      <c r="A272" t="s">
        <v>574</v>
      </c>
      <c r="B272" s="6">
        <f t="shared" si="4"/>
        <v>16</v>
      </c>
      <c r="C272" s="4" cm="1">
        <f t="array" ref="C272">SUM((MMULT(ISNUMBER(SEARCH(TRANSPOSE(category!$A$2:$A$11), A272))*1, ROW(category!$A$2:$A$11)^0)&gt;0)*1)</f>
        <v>0</v>
      </c>
      <c r="D272" s="4" cm="1">
        <f t="array" ref="D272">SUM((MMULT(ISNUMBER(SEARCH(TRANSPOSE(category!$B$2:$B$25), A272))*1, ROW(category!$B$2:$B$25)^0)&gt;0)*1)</f>
        <v>1</v>
      </c>
      <c r="E272" s="4" cm="1">
        <f t="array" ref="E272">SUM((MMULT(ISNUMBER(SEARCH(TRANSPOSE(category!$C$2:$C$4), A272))*1, ROW(category!$C$2:$C$4)^0)&gt;0)*1)</f>
        <v>0</v>
      </c>
      <c r="F272" s="4" cm="1">
        <f t="array" ref="F272">SUM((MMULT(ISNUMBER(SEARCH(TRANSPOSE(category!$D$2:$D$10), A272))*1, ROW(category!$D$2:$D$10)^0)&gt;0)*1)</f>
        <v>0</v>
      </c>
      <c r="G272" s="4" cm="1">
        <f t="array" ref="G272">SUM((MMULT(ISNUMBER(SEARCH(TRANSPOSE(category!$E$2:$E$8), A272))*1, ROW(category!$E$2:$E$8)^0)&gt;0)*1)</f>
        <v>0</v>
      </c>
      <c r="H272" s="4" cm="1">
        <f t="array" ref="H272">SUM((MMULT(ISNUMBER(SEARCH(TRANSPOSE(category!$F$2:$F$9), A272))*1, ROW(category!$F$2:$F$9)^0)&gt;0)*1)</f>
        <v>0</v>
      </c>
    </row>
    <row r="273" spans="1:8" x14ac:dyDescent="0.45">
      <c r="A273" t="s">
        <v>576</v>
      </c>
      <c r="B273" s="6">
        <f t="shared" si="4"/>
        <v>8</v>
      </c>
      <c r="C273" s="4" cm="1">
        <f t="array" ref="C273">SUM((MMULT(ISNUMBER(SEARCH(TRANSPOSE(category!$A$2:$A$11), A273))*1, ROW(category!$A$2:$A$11)^0)&gt;0)*1)</f>
        <v>0</v>
      </c>
      <c r="D273" s="4" cm="1">
        <f t="array" ref="D273">SUM((MMULT(ISNUMBER(SEARCH(TRANSPOSE(category!$B$2:$B$25), A273))*1, ROW(category!$B$2:$B$25)^0)&gt;0)*1)</f>
        <v>1</v>
      </c>
      <c r="E273" s="4" cm="1">
        <f t="array" ref="E273">SUM((MMULT(ISNUMBER(SEARCH(TRANSPOSE(category!$C$2:$C$4), A273))*1, ROW(category!$C$2:$C$4)^0)&gt;0)*1)</f>
        <v>0</v>
      </c>
      <c r="F273" s="4" cm="1">
        <f t="array" ref="F273">SUM((MMULT(ISNUMBER(SEARCH(TRANSPOSE(category!$D$2:$D$10), A273))*1, ROW(category!$D$2:$D$10)^0)&gt;0)*1)</f>
        <v>0</v>
      </c>
      <c r="G273" s="4" cm="1">
        <f t="array" ref="G273">SUM((MMULT(ISNUMBER(SEARCH(TRANSPOSE(category!$E$2:$E$8), A273))*1, ROW(category!$E$2:$E$8)^0)&gt;0)*1)</f>
        <v>0</v>
      </c>
      <c r="H273" s="4" cm="1">
        <f t="array" ref="H273">SUM((MMULT(ISNUMBER(SEARCH(TRANSPOSE(category!$F$2:$F$9), A273))*1, ROW(category!$F$2:$F$9)^0)&gt;0)*1)</f>
        <v>0</v>
      </c>
    </row>
    <row r="274" spans="1:8" x14ac:dyDescent="0.45">
      <c r="A274" t="s">
        <v>578</v>
      </c>
      <c r="B274" s="6">
        <f t="shared" si="4"/>
        <v>33</v>
      </c>
      <c r="C274" s="4" cm="1">
        <f t="array" ref="C274">SUM((MMULT(ISNUMBER(SEARCH(TRANSPOSE(category!$A$2:$A$11), A274))*1, ROW(category!$A$2:$A$11)^0)&gt;0)*1)</f>
        <v>0</v>
      </c>
      <c r="D274" s="4" cm="1">
        <f t="array" ref="D274">SUM((MMULT(ISNUMBER(SEARCH(TRANSPOSE(category!$B$2:$B$25), A274))*1, ROW(category!$B$2:$B$25)^0)&gt;0)*1)</f>
        <v>0</v>
      </c>
      <c r="E274" s="4" cm="1">
        <f t="array" ref="E274">SUM((MMULT(ISNUMBER(SEARCH(TRANSPOSE(category!$C$2:$C$4), A274))*1, ROW(category!$C$2:$C$4)^0)&gt;0)*1)</f>
        <v>0</v>
      </c>
      <c r="F274" s="4" cm="1">
        <f t="array" ref="F274">SUM((MMULT(ISNUMBER(SEARCH(TRANSPOSE(category!$D$2:$D$10), A274))*1, ROW(category!$D$2:$D$10)^0)&gt;0)*1)</f>
        <v>0</v>
      </c>
      <c r="G274" s="4" cm="1">
        <f t="array" ref="G274">SUM((MMULT(ISNUMBER(SEARCH(TRANSPOSE(category!$E$2:$E$8), A274))*1, ROW(category!$E$2:$E$8)^0)&gt;0)*1)</f>
        <v>0</v>
      </c>
      <c r="H274" s="4" cm="1">
        <f t="array" ref="H274">SUM((MMULT(ISNUMBER(SEARCH(TRANSPOSE(category!$F$2:$F$9), A274))*1, ROW(category!$F$2:$F$9)^0)&gt;0)*1)</f>
        <v>0</v>
      </c>
    </row>
    <row r="275" spans="1:8" x14ac:dyDescent="0.45">
      <c r="A275" t="s">
        <v>580</v>
      </c>
      <c r="B275" s="6">
        <f t="shared" si="4"/>
        <v>14</v>
      </c>
      <c r="C275" s="4" cm="1">
        <f t="array" ref="C275">SUM((MMULT(ISNUMBER(SEARCH(TRANSPOSE(category!$A$2:$A$11), A275))*1, ROW(category!$A$2:$A$11)^0)&gt;0)*1)</f>
        <v>0</v>
      </c>
      <c r="D275" s="4" cm="1">
        <f t="array" ref="D275">SUM((MMULT(ISNUMBER(SEARCH(TRANSPOSE(category!$B$2:$B$25), A275))*1, ROW(category!$B$2:$B$25)^0)&gt;0)*1)</f>
        <v>1</v>
      </c>
      <c r="E275" s="4" cm="1">
        <f t="array" ref="E275">SUM((MMULT(ISNUMBER(SEARCH(TRANSPOSE(category!$C$2:$C$4), A275))*1, ROW(category!$C$2:$C$4)^0)&gt;0)*1)</f>
        <v>0</v>
      </c>
      <c r="F275" s="4" cm="1">
        <f t="array" ref="F275">SUM((MMULT(ISNUMBER(SEARCH(TRANSPOSE(category!$D$2:$D$10), A275))*1, ROW(category!$D$2:$D$10)^0)&gt;0)*1)</f>
        <v>0</v>
      </c>
      <c r="G275" s="4" cm="1">
        <f t="array" ref="G275">SUM((MMULT(ISNUMBER(SEARCH(TRANSPOSE(category!$E$2:$E$8), A275))*1, ROW(category!$E$2:$E$8)^0)&gt;0)*1)</f>
        <v>0</v>
      </c>
      <c r="H275" s="4" cm="1">
        <f t="array" ref="H275">SUM((MMULT(ISNUMBER(SEARCH(TRANSPOSE(category!$F$2:$F$9), A275))*1, ROW(category!$F$2:$F$9)^0)&gt;0)*1)</f>
        <v>0</v>
      </c>
    </row>
    <row r="276" spans="1:8" x14ac:dyDescent="0.45">
      <c r="A276" t="s">
        <v>582</v>
      </c>
      <c r="B276" s="6">
        <f t="shared" si="4"/>
        <v>5</v>
      </c>
      <c r="C276" s="4" cm="1">
        <f t="array" ref="C276">SUM((MMULT(ISNUMBER(SEARCH(TRANSPOSE(category!$A$2:$A$11), A276))*1, ROW(category!$A$2:$A$11)^0)&gt;0)*1)</f>
        <v>0</v>
      </c>
      <c r="D276" s="4" cm="1">
        <f t="array" ref="D276">SUM((MMULT(ISNUMBER(SEARCH(TRANSPOSE(category!$B$2:$B$25), A276))*1, ROW(category!$B$2:$B$25)^0)&gt;0)*1)</f>
        <v>1</v>
      </c>
      <c r="E276" s="4" cm="1">
        <f t="array" ref="E276">SUM((MMULT(ISNUMBER(SEARCH(TRANSPOSE(category!$C$2:$C$4), A276))*1, ROW(category!$C$2:$C$4)^0)&gt;0)*1)</f>
        <v>0</v>
      </c>
      <c r="F276" s="4" cm="1">
        <f t="array" ref="F276">SUM((MMULT(ISNUMBER(SEARCH(TRANSPOSE(category!$D$2:$D$10), A276))*1, ROW(category!$D$2:$D$10)^0)&gt;0)*1)</f>
        <v>0</v>
      </c>
      <c r="G276" s="4" cm="1">
        <f t="array" ref="G276">SUM((MMULT(ISNUMBER(SEARCH(TRANSPOSE(category!$E$2:$E$8), A276))*1, ROW(category!$E$2:$E$8)^0)&gt;0)*1)</f>
        <v>0</v>
      </c>
      <c r="H276" s="4" cm="1">
        <f t="array" ref="H276">SUM((MMULT(ISNUMBER(SEARCH(TRANSPOSE(category!$F$2:$F$9), A276))*1, ROW(category!$F$2:$F$9)^0)&gt;0)*1)</f>
        <v>0</v>
      </c>
    </row>
    <row r="277" spans="1:8" x14ac:dyDescent="0.45">
      <c r="A277" t="s">
        <v>584</v>
      </c>
      <c r="B277" s="6">
        <f t="shared" si="4"/>
        <v>18</v>
      </c>
      <c r="C277" s="4" cm="1">
        <f t="array" ref="C277">SUM((MMULT(ISNUMBER(SEARCH(TRANSPOSE(category!$A$2:$A$11), A277))*1, ROW(category!$A$2:$A$11)^0)&gt;0)*1)</f>
        <v>0</v>
      </c>
      <c r="D277" s="4" cm="1">
        <f t="array" ref="D277">SUM((MMULT(ISNUMBER(SEARCH(TRANSPOSE(category!$B$2:$B$25), A277))*1, ROW(category!$B$2:$B$25)^0)&gt;0)*1)</f>
        <v>1</v>
      </c>
      <c r="E277" s="4" cm="1">
        <f t="array" ref="E277">SUM((MMULT(ISNUMBER(SEARCH(TRANSPOSE(category!$C$2:$C$4), A277))*1, ROW(category!$C$2:$C$4)^0)&gt;0)*1)</f>
        <v>0</v>
      </c>
      <c r="F277" s="4" cm="1">
        <f t="array" ref="F277">SUM((MMULT(ISNUMBER(SEARCH(TRANSPOSE(category!$D$2:$D$10), A277))*1, ROW(category!$D$2:$D$10)^0)&gt;0)*1)</f>
        <v>1</v>
      </c>
      <c r="G277" s="4" cm="1">
        <f t="array" ref="G277">SUM((MMULT(ISNUMBER(SEARCH(TRANSPOSE(category!$E$2:$E$8), A277))*1, ROW(category!$E$2:$E$8)^0)&gt;0)*1)</f>
        <v>0</v>
      </c>
      <c r="H277" s="4" cm="1">
        <f t="array" ref="H277">SUM((MMULT(ISNUMBER(SEARCH(TRANSPOSE(category!$F$2:$F$9), A277))*1, ROW(category!$F$2:$F$9)^0)&gt;0)*1)</f>
        <v>0</v>
      </c>
    </row>
    <row r="278" spans="1:8" x14ac:dyDescent="0.45">
      <c r="A278" t="s">
        <v>586</v>
      </c>
      <c r="B278" s="6">
        <f t="shared" si="4"/>
        <v>4</v>
      </c>
      <c r="C278" s="4" cm="1">
        <f t="array" ref="C278">SUM((MMULT(ISNUMBER(SEARCH(TRANSPOSE(category!$A$2:$A$11), A278))*1, ROW(category!$A$2:$A$11)^0)&gt;0)*1)</f>
        <v>0</v>
      </c>
      <c r="D278" s="4" cm="1">
        <f t="array" ref="D278">SUM((MMULT(ISNUMBER(SEARCH(TRANSPOSE(category!$B$2:$B$25), A278))*1, ROW(category!$B$2:$B$25)^0)&gt;0)*1)</f>
        <v>1</v>
      </c>
      <c r="E278" s="4" cm="1">
        <f t="array" ref="E278">SUM((MMULT(ISNUMBER(SEARCH(TRANSPOSE(category!$C$2:$C$4), A278))*1, ROW(category!$C$2:$C$4)^0)&gt;0)*1)</f>
        <v>0</v>
      </c>
      <c r="F278" s="4" cm="1">
        <f t="array" ref="F278">SUM((MMULT(ISNUMBER(SEARCH(TRANSPOSE(category!$D$2:$D$10), A278))*1, ROW(category!$D$2:$D$10)^0)&gt;0)*1)</f>
        <v>0</v>
      </c>
      <c r="G278" s="4" cm="1">
        <f t="array" ref="G278">SUM((MMULT(ISNUMBER(SEARCH(TRANSPOSE(category!$E$2:$E$8), A278))*1, ROW(category!$E$2:$E$8)^0)&gt;0)*1)</f>
        <v>0</v>
      </c>
      <c r="H278" s="4" cm="1">
        <f t="array" ref="H278">SUM((MMULT(ISNUMBER(SEARCH(TRANSPOSE(category!$F$2:$F$9), A278))*1, ROW(category!$F$2:$F$9)^0)&gt;0)*1)</f>
        <v>0</v>
      </c>
    </row>
    <row r="279" spans="1:8" x14ac:dyDescent="0.45">
      <c r="A279" t="s">
        <v>588</v>
      </c>
      <c r="B279" s="6">
        <f t="shared" si="4"/>
        <v>4</v>
      </c>
      <c r="C279" s="4" cm="1">
        <f t="array" ref="C279">SUM((MMULT(ISNUMBER(SEARCH(TRANSPOSE(category!$A$2:$A$11), A279))*1, ROW(category!$A$2:$A$11)^0)&gt;0)*1)</f>
        <v>1</v>
      </c>
      <c r="D279" s="4" cm="1">
        <f t="array" ref="D279">SUM((MMULT(ISNUMBER(SEARCH(TRANSPOSE(category!$B$2:$B$25), A279))*1, ROW(category!$B$2:$B$25)^0)&gt;0)*1)</f>
        <v>1</v>
      </c>
      <c r="E279" s="4" cm="1">
        <f t="array" ref="E279">SUM((MMULT(ISNUMBER(SEARCH(TRANSPOSE(category!$C$2:$C$4), A279))*1, ROW(category!$C$2:$C$4)^0)&gt;0)*1)</f>
        <v>0</v>
      </c>
      <c r="F279" s="4" cm="1">
        <f t="array" ref="F279">SUM((MMULT(ISNUMBER(SEARCH(TRANSPOSE(category!$D$2:$D$10), A279))*1, ROW(category!$D$2:$D$10)^0)&gt;0)*1)</f>
        <v>0</v>
      </c>
      <c r="G279" s="4" cm="1">
        <f t="array" ref="G279">SUM((MMULT(ISNUMBER(SEARCH(TRANSPOSE(category!$E$2:$E$8), A279))*1, ROW(category!$E$2:$E$8)^0)&gt;0)*1)</f>
        <v>0</v>
      </c>
      <c r="H279" s="4" cm="1">
        <f t="array" ref="H279">SUM((MMULT(ISNUMBER(SEARCH(TRANSPOSE(category!$F$2:$F$9), A279))*1, ROW(category!$F$2:$F$9)^0)&gt;0)*1)</f>
        <v>0</v>
      </c>
    </row>
    <row r="280" spans="1:8" x14ac:dyDescent="0.45">
      <c r="A280" t="s">
        <v>590</v>
      </c>
      <c r="B280" s="6">
        <f t="shared" si="4"/>
        <v>5</v>
      </c>
      <c r="C280" s="4" cm="1">
        <f t="array" ref="C280">SUM((MMULT(ISNUMBER(SEARCH(TRANSPOSE(category!$A$2:$A$11), A280))*1, ROW(category!$A$2:$A$11)^0)&gt;0)*1)</f>
        <v>0</v>
      </c>
      <c r="D280" s="4" cm="1">
        <f t="array" ref="D280">SUM((MMULT(ISNUMBER(SEARCH(TRANSPOSE(category!$B$2:$B$25), A280))*1, ROW(category!$B$2:$B$25)^0)&gt;0)*1)</f>
        <v>1</v>
      </c>
      <c r="E280" s="4" cm="1">
        <f t="array" ref="E280">SUM((MMULT(ISNUMBER(SEARCH(TRANSPOSE(category!$C$2:$C$4), A280))*1, ROW(category!$C$2:$C$4)^0)&gt;0)*1)</f>
        <v>0</v>
      </c>
      <c r="F280" s="4" cm="1">
        <f t="array" ref="F280">SUM((MMULT(ISNUMBER(SEARCH(TRANSPOSE(category!$D$2:$D$10), A280))*1, ROW(category!$D$2:$D$10)^0)&gt;0)*1)</f>
        <v>0</v>
      </c>
      <c r="G280" s="4" cm="1">
        <f t="array" ref="G280">SUM((MMULT(ISNUMBER(SEARCH(TRANSPOSE(category!$E$2:$E$8), A280))*1, ROW(category!$E$2:$E$8)^0)&gt;0)*1)</f>
        <v>0</v>
      </c>
      <c r="H280" s="4" cm="1">
        <f t="array" ref="H280">SUM((MMULT(ISNUMBER(SEARCH(TRANSPOSE(category!$F$2:$F$9), A280))*1, ROW(category!$F$2:$F$9)^0)&gt;0)*1)</f>
        <v>0</v>
      </c>
    </row>
    <row r="281" spans="1:8" x14ac:dyDescent="0.45">
      <c r="A281" t="s">
        <v>592</v>
      </c>
      <c r="B281" s="6">
        <f t="shared" si="4"/>
        <v>5</v>
      </c>
      <c r="C281" s="4" cm="1">
        <f t="array" ref="C281">SUM((MMULT(ISNUMBER(SEARCH(TRANSPOSE(category!$A$2:$A$11), A281))*1, ROW(category!$A$2:$A$11)^0)&gt;0)*1)</f>
        <v>0</v>
      </c>
      <c r="D281" s="4" cm="1">
        <f t="array" ref="D281">SUM((MMULT(ISNUMBER(SEARCH(TRANSPOSE(category!$B$2:$B$25), A281))*1, ROW(category!$B$2:$B$25)^0)&gt;0)*1)</f>
        <v>1</v>
      </c>
      <c r="E281" s="4" cm="1">
        <f t="array" ref="E281">SUM((MMULT(ISNUMBER(SEARCH(TRANSPOSE(category!$C$2:$C$4), A281))*1, ROW(category!$C$2:$C$4)^0)&gt;0)*1)</f>
        <v>0</v>
      </c>
      <c r="F281" s="4" cm="1">
        <f t="array" ref="F281">SUM((MMULT(ISNUMBER(SEARCH(TRANSPOSE(category!$D$2:$D$10), A281))*1, ROW(category!$D$2:$D$10)^0)&gt;0)*1)</f>
        <v>0</v>
      </c>
      <c r="G281" s="4" cm="1">
        <f t="array" ref="G281">SUM((MMULT(ISNUMBER(SEARCH(TRANSPOSE(category!$E$2:$E$8), A281))*1, ROW(category!$E$2:$E$8)^0)&gt;0)*1)</f>
        <v>0</v>
      </c>
      <c r="H281" s="4" cm="1">
        <f t="array" ref="H281">SUM((MMULT(ISNUMBER(SEARCH(TRANSPOSE(category!$F$2:$F$9), A281))*1, ROW(category!$F$2:$F$9)^0)&gt;0)*1)</f>
        <v>0</v>
      </c>
    </row>
    <row r="282" spans="1:8" x14ac:dyDescent="0.45">
      <c r="A282" t="s">
        <v>594</v>
      </c>
      <c r="B282" s="6">
        <f t="shared" si="4"/>
        <v>9</v>
      </c>
      <c r="C282" s="4" cm="1">
        <f t="array" ref="C282">SUM((MMULT(ISNUMBER(SEARCH(TRANSPOSE(category!$A$2:$A$11), A282))*1, ROW(category!$A$2:$A$11)^0)&gt;0)*1)</f>
        <v>1</v>
      </c>
      <c r="D282" s="4" cm="1">
        <f t="array" ref="D282">SUM((MMULT(ISNUMBER(SEARCH(TRANSPOSE(category!$B$2:$B$25), A282))*1, ROW(category!$B$2:$B$25)^0)&gt;0)*1)</f>
        <v>1</v>
      </c>
      <c r="E282" s="4" cm="1">
        <f t="array" ref="E282">SUM((MMULT(ISNUMBER(SEARCH(TRANSPOSE(category!$C$2:$C$4), A282))*1, ROW(category!$C$2:$C$4)^0)&gt;0)*1)</f>
        <v>0</v>
      </c>
      <c r="F282" s="4" cm="1">
        <f t="array" ref="F282">SUM((MMULT(ISNUMBER(SEARCH(TRANSPOSE(category!$D$2:$D$10), A282))*1, ROW(category!$D$2:$D$10)^0)&gt;0)*1)</f>
        <v>0</v>
      </c>
      <c r="G282" s="4" cm="1">
        <f t="array" ref="G282">SUM((MMULT(ISNUMBER(SEARCH(TRANSPOSE(category!$E$2:$E$8), A282))*1, ROW(category!$E$2:$E$8)^0)&gt;0)*1)</f>
        <v>0</v>
      </c>
      <c r="H282" s="4" cm="1">
        <f t="array" ref="H282">SUM((MMULT(ISNUMBER(SEARCH(TRANSPOSE(category!$F$2:$F$9), A282))*1, ROW(category!$F$2:$F$9)^0)&gt;0)*1)</f>
        <v>0</v>
      </c>
    </row>
    <row r="283" spans="1:8" x14ac:dyDescent="0.45">
      <c r="A283" t="s">
        <v>596</v>
      </c>
      <c r="B283" s="6">
        <f t="shared" si="4"/>
        <v>9</v>
      </c>
      <c r="C283" s="4" cm="1">
        <f t="array" ref="C283">SUM((MMULT(ISNUMBER(SEARCH(TRANSPOSE(category!$A$2:$A$11), A283))*1, ROW(category!$A$2:$A$11)^0)&gt;0)*1)</f>
        <v>0</v>
      </c>
      <c r="D283" s="4" cm="1">
        <f t="array" ref="D283">SUM((MMULT(ISNUMBER(SEARCH(TRANSPOSE(category!$B$2:$B$25), A283))*1, ROW(category!$B$2:$B$25)^0)&gt;0)*1)</f>
        <v>1</v>
      </c>
      <c r="E283" s="4" cm="1">
        <f t="array" ref="E283">SUM((MMULT(ISNUMBER(SEARCH(TRANSPOSE(category!$C$2:$C$4), A283))*1, ROW(category!$C$2:$C$4)^0)&gt;0)*1)</f>
        <v>0</v>
      </c>
      <c r="F283" s="4" cm="1">
        <f t="array" ref="F283">SUM((MMULT(ISNUMBER(SEARCH(TRANSPOSE(category!$D$2:$D$10), A283))*1, ROW(category!$D$2:$D$10)^0)&gt;0)*1)</f>
        <v>0</v>
      </c>
      <c r="G283" s="4" cm="1">
        <f t="array" ref="G283">SUM((MMULT(ISNUMBER(SEARCH(TRANSPOSE(category!$E$2:$E$8), A283))*1, ROW(category!$E$2:$E$8)^0)&gt;0)*1)</f>
        <v>0</v>
      </c>
      <c r="H283" s="4" cm="1">
        <f t="array" ref="H283">SUM((MMULT(ISNUMBER(SEARCH(TRANSPOSE(category!$F$2:$F$9), A283))*1, ROW(category!$F$2:$F$9)^0)&gt;0)*1)</f>
        <v>0</v>
      </c>
    </row>
    <row r="284" spans="1:8" x14ac:dyDescent="0.45">
      <c r="A284" t="s">
        <v>598</v>
      </c>
      <c r="B284" s="6">
        <f t="shared" si="4"/>
        <v>15</v>
      </c>
      <c r="C284" s="4" cm="1">
        <f t="array" ref="C284">SUM((MMULT(ISNUMBER(SEARCH(TRANSPOSE(category!$A$2:$A$11), A284))*1, ROW(category!$A$2:$A$11)^0)&gt;0)*1)</f>
        <v>0</v>
      </c>
      <c r="D284" s="4" cm="1">
        <f t="array" ref="D284">SUM((MMULT(ISNUMBER(SEARCH(TRANSPOSE(category!$B$2:$B$25), A284))*1, ROW(category!$B$2:$B$25)^0)&gt;0)*1)</f>
        <v>1</v>
      </c>
      <c r="E284" s="4" cm="1">
        <f t="array" ref="E284">SUM((MMULT(ISNUMBER(SEARCH(TRANSPOSE(category!$C$2:$C$4), A284))*1, ROW(category!$C$2:$C$4)^0)&gt;0)*1)</f>
        <v>0</v>
      </c>
      <c r="F284" s="4" cm="1">
        <f t="array" ref="F284">SUM((MMULT(ISNUMBER(SEARCH(TRANSPOSE(category!$D$2:$D$10), A284))*1, ROW(category!$D$2:$D$10)^0)&gt;0)*1)</f>
        <v>0</v>
      </c>
      <c r="G284" s="4" cm="1">
        <f t="array" ref="G284">SUM((MMULT(ISNUMBER(SEARCH(TRANSPOSE(category!$E$2:$E$8), A284))*1, ROW(category!$E$2:$E$8)^0)&gt;0)*1)</f>
        <v>0</v>
      </c>
      <c r="H284" s="4" cm="1">
        <f t="array" ref="H284">SUM((MMULT(ISNUMBER(SEARCH(TRANSPOSE(category!$F$2:$F$9), A284))*1, ROW(category!$F$2:$F$9)^0)&gt;0)*1)</f>
        <v>0</v>
      </c>
    </row>
    <row r="285" spans="1:8" x14ac:dyDescent="0.45">
      <c r="A285" t="s">
        <v>600</v>
      </c>
      <c r="B285" s="6">
        <f t="shared" si="4"/>
        <v>13</v>
      </c>
      <c r="C285" s="4" cm="1">
        <f t="array" ref="C285">SUM((MMULT(ISNUMBER(SEARCH(TRANSPOSE(category!$A$2:$A$11), A285))*1, ROW(category!$A$2:$A$11)^0)&gt;0)*1)</f>
        <v>1</v>
      </c>
      <c r="D285" s="4" cm="1">
        <f t="array" ref="D285">SUM((MMULT(ISNUMBER(SEARCH(TRANSPOSE(category!$B$2:$B$25), A285))*1, ROW(category!$B$2:$B$25)^0)&gt;0)*1)</f>
        <v>1</v>
      </c>
      <c r="E285" s="4" cm="1">
        <f t="array" ref="E285">SUM((MMULT(ISNUMBER(SEARCH(TRANSPOSE(category!$C$2:$C$4), A285))*1, ROW(category!$C$2:$C$4)^0)&gt;0)*1)</f>
        <v>0</v>
      </c>
      <c r="F285" s="4" cm="1">
        <f t="array" ref="F285">SUM((MMULT(ISNUMBER(SEARCH(TRANSPOSE(category!$D$2:$D$10), A285))*1, ROW(category!$D$2:$D$10)^0)&gt;0)*1)</f>
        <v>1</v>
      </c>
      <c r="G285" s="4" cm="1">
        <f t="array" ref="G285">SUM((MMULT(ISNUMBER(SEARCH(TRANSPOSE(category!$E$2:$E$8), A285))*1, ROW(category!$E$2:$E$8)^0)&gt;0)*1)</f>
        <v>0</v>
      </c>
      <c r="H285" s="4" cm="1">
        <f t="array" ref="H285">SUM((MMULT(ISNUMBER(SEARCH(TRANSPOSE(category!$F$2:$F$9), A285))*1, ROW(category!$F$2:$F$9)^0)&gt;0)*1)</f>
        <v>0</v>
      </c>
    </row>
    <row r="286" spans="1:8" x14ac:dyDescent="0.45">
      <c r="A286" t="s">
        <v>602</v>
      </c>
      <c r="B286" s="6">
        <f t="shared" si="4"/>
        <v>19</v>
      </c>
      <c r="C286" s="4" cm="1">
        <f t="array" ref="C286">SUM((MMULT(ISNUMBER(SEARCH(TRANSPOSE(category!$A$2:$A$11), A286))*1, ROW(category!$A$2:$A$11)^0)&gt;0)*1)</f>
        <v>0</v>
      </c>
      <c r="D286" s="4" cm="1">
        <f t="array" ref="D286">SUM((MMULT(ISNUMBER(SEARCH(TRANSPOSE(category!$B$2:$B$25), A286))*1, ROW(category!$B$2:$B$25)^0)&gt;0)*1)</f>
        <v>1</v>
      </c>
      <c r="E286" s="4" cm="1">
        <f t="array" ref="E286">SUM((MMULT(ISNUMBER(SEARCH(TRANSPOSE(category!$C$2:$C$4), A286))*1, ROW(category!$C$2:$C$4)^0)&gt;0)*1)</f>
        <v>0</v>
      </c>
      <c r="F286" s="4" cm="1">
        <f t="array" ref="F286">SUM((MMULT(ISNUMBER(SEARCH(TRANSPOSE(category!$D$2:$D$10), A286))*1, ROW(category!$D$2:$D$10)^0)&gt;0)*1)</f>
        <v>1</v>
      </c>
      <c r="G286" s="4" cm="1">
        <f t="array" ref="G286">SUM((MMULT(ISNUMBER(SEARCH(TRANSPOSE(category!$E$2:$E$8), A286))*1, ROW(category!$E$2:$E$8)^0)&gt;0)*1)</f>
        <v>0</v>
      </c>
      <c r="H286" s="4" cm="1">
        <f t="array" ref="H286">SUM((MMULT(ISNUMBER(SEARCH(TRANSPOSE(category!$F$2:$F$9), A286))*1, ROW(category!$F$2:$F$9)^0)&gt;0)*1)</f>
        <v>0</v>
      </c>
    </row>
    <row r="287" spans="1:8" x14ac:dyDescent="0.45">
      <c r="A287" t="s">
        <v>604</v>
      </c>
      <c r="B287" s="6">
        <f t="shared" si="4"/>
        <v>31</v>
      </c>
      <c r="C287" s="4" cm="1">
        <f t="array" ref="C287">SUM((MMULT(ISNUMBER(SEARCH(TRANSPOSE(category!$A$2:$A$11), A287))*1, ROW(category!$A$2:$A$11)^0)&gt;0)*1)</f>
        <v>1</v>
      </c>
      <c r="D287" s="4" cm="1">
        <f t="array" ref="D287">SUM((MMULT(ISNUMBER(SEARCH(TRANSPOSE(category!$B$2:$B$25), A287))*1, ROW(category!$B$2:$B$25)^0)&gt;0)*1)</f>
        <v>1</v>
      </c>
      <c r="E287" s="4" cm="1">
        <f t="array" ref="E287">SUM((MMULT(ISNUMBER(SEARCH(TRANSPOSE(category!$C$2:$C$4), A287))*1, ROW(category!$C$2:$C$4)^0)&gt;0)*1)</f>
        <v>0</v>
      </c>
      <c r="F287" s="4" cm="1">
        <f t="array" ref="F287">SUM((MMULT(ISNUMBER(SEARCH(TRANSPOSE(category!$D$2:$D$10), A287))*1, ROW(category!$D$2:$D$10)^0)&gt;0)*1)</f>
        <v>1</v>
      </c>
      <c r="G287" s="4" cm="1">
        <f t="array" ref="G287">SUM((MMULT(ISNUMBER(SEARCH(TRANSPOSE(category!$E$2:$E$8), A287))*1, ROW(category!$E$2:$E$8)^0)&gt;0)*1)</f>
        <v>0</v>
      </c>
      <c r="H287" s="4" cm="1">
        <f t="array" ref="H287">SUM((MMULT(ISNUMBER(SEARCH(TRANSPOSE(category!$F$2:$F$9), A287))*1, ROW(category!$F$2:$F$9)^0)&gt;0)*1)</f>
        <v>0</v>
      </c>
    </row>
    <row r="288" spans="1:8" x14ac:dyDescent="0.45">
      <c r="A288" t="s">
        <v>606</v>
      </c>
      <c r="B288" s="6">
        <f t="shared" si="4"/>
        <v>15</v>
      </c>
      <c r="C288" s="4" cm="1">
        <f t="array" ref="C288">SUM((MMULT(ISNUMBER(SEARCH(TRANSPOSE(category!$A$2:$A$11), A288))*1, ROW(category!$A$2:$A$11)^0)&gt;0)*1)</f>
        <v>1</v>
      </c>
      <c r="D288" s="4" cm="1">
        <f t="array" ref="D288">SUM((MMULT(ISNUMBER(SEARCH(TRANSPOSE(category!$B$2:$B$25), A288))*1, ROW(category!$B$2:$B$25)^0)&gt;0)*1)</f>
        <v>1</v>
      </c>
      <c r="E288" s="4" cm="1">
        <f t="array" ref="E288">SUM((MMULT(ISNUMBER(SEARCH(TRANSPOSE(category!$C$2:$C$4), A288))*1, ROW(category!$C$2:$C$4)^0)&gt;0)*1)</f>
        <v>0</v>
      </c>
      <c r="F288" s="4" cm="1">
        <f t="array" ref="F288">SUM((MMULT(ISNUMBER(SEARCH(TRANSPOSE(category!$D$2:$D$10), A288))*1, ROW(category!$D$2:$D$10)^0)&gt;0)*1)</f>
        <v>0</v>
      </c>
      <c r="G288" s="4" cm="1">
        <f t="array" ref="G288">SUM((MMULT(ISNUMBER(SEARCH(TRANSPOSE(category!$E$2:$E$8), A288))*1, ROW(category!$E$2:$E$8)^0)&gt;0)*1)</f>
        <v>0</v>
      </c>
      <c r="H288" s="4" cm="1">
        <f t="array" ref="H288">SUM((MMULT(ISNUMBER(SEARCH(TRANSPOSE(category!$F$2:$F$9), A288))*1, ROW(category!$F$2:$F$9)^0)&gt;0)*1)</f>
        <v>0</v>
      </c>
    </row>
    <row r="289" spans="1:8" x14ac:dyDescent="0.45">
      <c r="A289" t="s">
        <v>608</v>
      </c>
      <c r="B289" s="6">
        <f t="shared" si="4"/>
        <v>9</v>
      </c>
      <c r="C289" s="4" cm="1">
        <f t="array" ref="C289">SUM((MMULT(ISNUMBER(SEARCH(TRANSPOSE(category!$A$2:$A$11), A289))*1, ROW(category!$A$2:$A$11)^0)&gt;0)*1)</f>
        <v>0</v>
      </c>
      <c r="D289" s="4" cm="1">
        <f t="array" ref="D289">SUM((MMULT(ISNUMBER(SEARCH(TRANSPOSE(category!$B$2:$B$25), A289))*1, ROW(category!$B$2:$B$25)^0)&gt;0)*1)</f>
        <v>1</v>
      </c>
      <c r="E289" s="4" cm="1">
        <f t="array" ref="E289">SUM((MMULT(ISNUMBER(SEARCH(TRANSPOSE(category!$C$2:$C$4), A289))*1, ROW(category!$C$2:$C$4)^0)&gt;0)*1)</f>
        <v>0</v>
      </c>
      <c r="F289" s="4" cm="1">
        <f t="array" ref="F289">SUM((MMULT(ISNUMBER(SEARCH(TRANSPOSE(category!$D$2:$D$10), A289))*1, ROW(category!$D$2:$D$10)^0)&gt;0)*1)</f>
        <v>1</v>
      </c>
      <c r="G289" s="4" cm="1">
        <f t="array" ref="G289">SUM((MMULT(ISNUMBER(SEARCH(TRANSPOSE(category!$E$2:$E$8), A289))*1, ROW(category!$E$2:$E$8)^0)&gt;0)*1)</f>
        <v>0</v>
      </c>
      <c r="H289" s="4" cm="1">
        <f t="array" ref="H289">SUM((MMULT(ISNUMBER(SEARCH(TRANSPOSE(category!$F$2:$F$9), A289))*1, ROW(category!$F$2:$F$9)^0)&gt;0)*1)</f>
        <v>1</v>
      </c>
    </row>
    <row r="290" spans="1:8" x14ac:dyDescent="0.45">
      <c r="A290" t="s">
        <v>610</v>
      </c>
      <c r="B290" s="6">
        <f t="shared" si="4"/>
        <v>147</v>
      </c>
      <c r="C290" s="4" cm="1">
        <f t="array" ref="C290">SUM((MMULT(ISNUMBER(SEARCH(TRANSPOSE(category!$A$2:$A$11), A290))*1, ROW(category!$A$2:$A$11)^0)&gt;0)*1)</f>
        <v>1</v>
      </c>
      <c r="D290" s="4" cm="1">
        <f t="array" ref="D290">SUM((MMULT(ISNUMBER(SEARCH(TRANSPOSE(category!$B$2:$B$25), A290))*1, ROW(category!$B$2:$B$25)^0)&gt;0)*1)</f>
        <v>1</v>
      </c>
      <c r="E290" s="4" cm="1">
        <f t="array" ref="E290">SUM((MMULT(ISNUMBER(SEARCH(TRANSPOSE(category!$C$2:$C$4), A290))*1, ROW(category!$C$2:$C$4)^0)&gt;0)*1)</f>
        <v>0</v>
      </c>
      <c r="F290" s="4" cm="1">
        <f t="array" ref="F290">SUM((MMULT(ISNUMBER(SEARCH(TRANSPOSE(category!$D$2:$D$10), A290))*1, ROW(category!$D$2:$D$10)^0)&gt;0)*1)</f>
        <v>1</v>
      </c>
      <c r="G290" s="4" cm="1">
        <f t="array" ref="G290">SUM((MMULT(ISNUMBER(SEARCH(TRANSPOSE(category!$E$2:$E$8), A290))*1, ROW(category!$E$2:$E$8)^0)&gt;0)*1)</f>
        <v>0</v>
      </c>
      <c r="H290" s="4" cm="1">
        <f t="array" ref="H290">SUM((MMULT(ISNUMBER(SEARCH(TRANSPOSE(category!$F$2:$F$9), A290))*1, ROW(category!$F$2:$F$9)^0)&gt;0)*1)</f>
        <v>0</v>
      </c>
    </row>
    <row r="291" spans="1:8" x14ac:dyDescent="0.45">
      <c r="A291" t="s">
        <v>612</v>
      </c>
      <c r="B291" s="6">
        <f t="shared" si="4"/>
        <v>7</v>
      </c>
      <c r="C291" s="4" cm="1">
        <f t="array" ref="C291">SUM((MMULT(ISNUMBER(SEARCH(TRANSPOSE(category!$A$2:$A$11), A291))*1, ROW(category!$A$2:$A$11)^0)&gt;0)*1)</f>
        <v>0</v>
      </c>
      <c r="D291" s="4" cm="1">
        <f t="array" ref="D291">SUM((MMULT(ISNUMBER(SEARCH(TRANSPOSE(category!$B$2:$B$25), A291))*1, ROW(category!$B$2:$B$25)^0)&gt;0)*1)</f>
        <v>1</v>
      </c>
      <c r="E291" s="4" cm="1">
        <f t="array" ref="E291">SUM((MMULT(ISNUMBER(SEARCH(TRANSPOSE(category!$C$2:$C$4), A291))*1, ROW(category!$C$2:$C$4)^0)&gt;0)*1)</f>
        <v>1</v>
      </c>
      <c r="F291" s="4" cm="1">
        <f t="array" ref="F291">SUM((MMULT(ISNUMBER(SEARCH(TRANSPOSE(category!$D$2:$D$10), A291))*1, ROW(category!$D$2:$D$10)^0)&gt;0)*1)</f>
        <v>0</v>
      </c>
      <c r="G291" s="4" cm="1">
        <f t="array" ref="G291">SUM((MMULT(ISNUMBER(SEARCH(TRANSPOSE(category!$E$2:$E$8), A291))*1, ROW(category!$E$2:$E$8)^0)&gt;0)*1)</f>
        <v>0</v>
      </c>
      <c r="H291" s="4" cm="1">
        <f t="array" ref="H291">SUM((MMULT(ISNUMBER(SEARCH(TRANSPOSE(category!$F$2:$F$9), A291))*1, ROW(category!$F$2:$F$9)^0)&gt;0)*1)</f>
        <v>0</v>
      </c>
    </row>
    <row r="292" spans="1:8" x14ac:dyDescent="0.45">
      <c r="A292" t="s">
        <v>614</v>
      </c>
      <c r="B292" s="6">
        <f t="shared" si="4"/>
        <v>4</v>
      </c>
      <c r="C292" s="4" cm="1">
        <f t="array" ref="C292">SUM((MMULT(ISNUMBER(SEARCH(TRANSPOSE(category!$A$2:$A$11), A292))*1, ROW(category!$A$2:$A$11)^0)&gt;0)*1)</f>
        <v>0</v>
      </c>
      <c r="D292" s="4" cm="1">
        <f t="array" ref="D292">SUM((MMULT(ISNUMBER(SEARCH(TRANSPOSE(category!$B$2:$B$25), A292))*1, ROW(category!$B$2:$B$25)^0)&gt;0)*1)</f>
        <v>1</v>
      </c>
      <c r="E292" s="4" cm="1">
        <f t="array" ref="E292">SUM((MMULT(ISNUMBER(SEARCH(TRANSPOSE(category!$C$2:$C$4), A292))*1, ROW(category!$C$2:$C$4)^0)&gt;0)*1)</f>
        <v>0</v>
      </c>
      <c r="F292" s="4" cm="1">
        <f t="array" ref="F292">SUM((MMULT(ISNUMBER(SEARCH(TRANSPOSE(category!$D$2:$D$10), A292))*1, ROW(category!$D$2:$D$10)^0)&gt;0)*1)</f>
        <v>0</v>
      </c>
      <c r="G292" s="4" cm="1">
        <f t="array" ref="G292">SUM((MMULT(ISNUMBER(SEARCH(TRANSPOSE(category!$E$2:$E$8), A292))*1, ROW(category!$E$2:$E$8)^0)&gt;0)*1)</f>
        <v>0</v>
      </c>
      <c r="H292" s="4" cm="1">
        <f t="array" ref="H292">SUM((MMULT(ISNUMBER(SEARCH(TRANSPOSE(category!$F$2:$F$9), A292))*1, ROW(category!$F$2:$F$9)^0)&gt;0)*1)</f>
        <v>0</v>
      </c>
    </row>
    <row r="293" spans="1:8" x14ac:dyDescent="0.45">
      <c r="A293" t="s">
        <v>616</v>
      </c>
      <c r="B293" s="6">
        <f t="shared" si="4"/>
        <v>20</v>
      </c>
      <c r="C293" s="4" cm="1">
        <f t="array" ref="C293">SUM((MMULT(ISNUMBER(SEARCH(TRANSPOSE(category!$A$2:$A$11), A293))*1, ROW(category!$A$2:$A$11)^0)&gt;0)*1)</f>
        <v>0</v>
      </c>
      <c r="D293" s="4" cm="1">
        <f t="array" ref="D293">SUM((MMULT(ISNUMBER(SEARCH(TRANSPOSE(category!$B$2:$B$25), A293))*1, ROW(category!$B$2:$B$25)^0)&gt;0)*1)</f>
        <v>1</v>
      </c>
      <c r="E293" s="4" cm="1">
        <f t="array" ref="E293">SUM((MMULT(ISNUMBER(SEARCH(TRANSPOSE(category!$C$2:$C$4), A293))*1, ROW(category!$C$2:$C$4)^0)&gt;0)*1)</f>
        <v>0</v>
      </c>
      <c r="F293" s="4" cm="1">
        <f t="array" ref="F293">SUM((MMULT(ISNUMBER(SEARCH(TRANSPOSE(category!$D$2:$D$10), A293))*1, ROW(category!$D$2:$D$10)^0)&gt;0)*1)</f>
        <v>0</v>
      </c>
      <c r="G293" s="4" cm="1">
        <f t="array" ref="G293">SUM((MMULT(ISNUMBER(SEARCH(TRANSPOSE(category!$E$2:$E$8), A293))*1, ROW(category!$E$2:$E$8)^0)&gt;0)*1)</f>
        <v>0</v>
      </c>
      <c r="H293" s="4" cm="1">
        <f t="array" ref="H293">SUM((MMULT(ISNUMBER(SEARCH(TRANSPOSE(category!$F$2:$F$9), A293))*1, ROW(category!$F$2:$F$9)^0)&gt;0)*1)</f>
        <v>0</v>
      </c>
    </row>
    <row r="294" spans="1:8" x14ac:dyDescent="0.45">
      <c r="A294" t="s">
        <v>618</v>
      </c>
      <c r="B294" s="6">
        <f t="shared" si="4"/>
        <v>11</v>
      </c>
      <c r="C294" s="4" cm="1">
        <f t="array" ref="C294">SUM((MMULT(ISNUMBER(SEARCH(TRANSPOSE(category!$A$2:$A$11), A294))*1, ROW(category!$A$2:$A$11)^0)&gt;0)*1)</f>
        <v>0</v>
      </c>
      <c r="D294" s="4" cm="1">
        <f t="array" ref="D294">SUM((MMULT(ISNUMBER(SEARCH(TRANSPOSE(category!$B$2:$B$25), A294))*1, ROW(category!$B$2:$B$25)^0)&gt;0)*1)</f>
        <v>1</v>
      </c>
      <c r="E294" s="4" cm="1">
        <f t="array" ref="E294">SUM((MMULT(ISNUMBER(SEARCH(TRANSPOSE(category!$C$2:$C$4), A294))*1, ROW(category!$C$2:$C$4)^0)&gt;0)*1)</f>
        <v>0</v>
      </c>
      <c r="F294" s="4" cm="1">
        <f t="array" ref="F294">SUM((MMULT(ISNUMBER(SEARCH(TRANSPOSE(category!$D$2:$D$10), A294))*1, ROW(category!$D$2:$D$10)^0)&gt;0)*1)</f>
        <v>0</v>
      </c>
      <c r="G294" s="4" cm="1">
        <f t="array" ref="G294">SUM((MMULT(ISNUMBER(SEARCH(TRANSPOSE(category!$E$2:$E$8), A294))*1, ROW(category!$E$2:$E$8)^0)&gt;0)*1)</f>
        <v>0</v>
      </c>
      <c r="H294" s="4" cm="1">
        <f t="array" ref="H294">SUM((MMULT(ISNUMBER(SEARCH(TRANSPOSE(category!$F$2:$F$9), A294))*1, ROW(category!$F$2:$F$9)^0)&gt;0)*1)</f>
        <v>0</v>
      </c>
    </row>
    <row r="295" spans="1:8" x14ac:dyDescent="0.45">
      <c r="A295" t="s">
        <v>620</v>
      </c>
      <c r="B295" s="6">
        <f t="shared" si="4"/>
        <v>42</v>
      </c>
      <c r="C295" s="4" cm="1">
        <f t="array" ref="C295">SUM((MMULT(ISNUMBER(SEARCH(TRANSPOSE(category!$A$2:$A$11), A295))*1, ROW(category!$A$2:$A$11)^0)&gt;0)*1)</f>
        <v>0</v>
      </c>
      <c r="D295" s="4" cm="1">
        <f t="array" ref="D295">SUM((MMULT(ISNUMBER(SEARCH(TRANSPOSE(category!$B$2:$B$25), A295))*1, ROW(category!$B$2:$B$25)^0)&gt;0)*1)</f>
        <v>1</v>
      </c>
      <c r="E295" s="4" cm="1">
        <f t="array" ref="E295">SUM((MMULT(ISNUMBER(SEARCH(TRANSPOSE(category!$C$2:$C$4), A295))*1, ROW(category!$C$2:$C$4)^0)&gt;0)*1)</f>
        <v>0</v>
      </c>
      <c r="F295" s="4" cm="1">
        <f t="array" ref="F295">SUM((MMULT(ISNUMBER(SEARCH(TRANSPOSE(category!$D$2:$D$10), A295))*1, ROW(category!$D$2:$D$10)^0)&gt;0)*1)</f>
        <v>1</v>
      </c>
      <c r="G295" s="4" cm="1">
        <f t="array" ref="G295">SUM((MMULT(ISNUMBER(SEARCH(TRANSPOSE(category!$E$2:$E$8), A295))*1, ROW(category!$E$2:$E$8)^0)&gt;0)*1)</f>
        <v>0</v>
      </c>
      <c r="H295" s="4" cm="1">
        <f t="array" ref="H295">SUM((MMULT(ISNUMBER(SEARCH(TRANSPOSE(category!$F$2:$F$9), A295))*1, ROW(category!$F$2:$F$9)^0)&gt;0)*1)</f>
        <v>0</v>
      </c>
    </row>
    <row r="296" spans="1:8" x14ac:dyDescent="0.45">
      <c r="A296" t="s">
        <v>622</v>
      </c>
      <c r="B296" s="6">
        <f t="shared" si="4"/>
        <v>24</v>
      </c>
      <c r="C296" s="4" cm="1">
        <f t="array" ref="C296">SUM((MMULT(ISNUMBER(SEARCH(TRANSPOSE(category!$A$2:$A$11), A296))*1, ROW(category!$A$2:$A$11)^0)&gt;0)*1)</f>
        <v>1</v>
      </c>
      <c r="D296" s="4" cm="1">
        <f t="array" ref="D296">SUM((MMULT(ISNUMBER(SEARCH(TRANSPOSE(category!$B$2:$B$25), A296))*1, ROW(category!$B$2:$B$25)^0)&gt;0)*1)</f>
        <v>1</v>
      </c>
      <c r="E296" s="4" cm="1">
        <f t="array" ref="E296">SUM((MMULT(ISNUMBER(SEARCH(TRANSPOSE(category!$C$2:$C$4), A296))*1, ROW(category!$C$2:$C$4)^0)&gt;0)*1)</f>
        <v>0</v>
      </c>
      <c r="F296" s="4" cm="1">
        <f t="array" ref="F296">SUM((MMULT(ISNUMBER(SEARCH(TRANSPOSE(category!$D$2:$D$10), A296))*1, ROW(category!$D$2:$D$10)^0)&gt;0)*1)</f>
        <v>1</v>
      </c>
      <c r="G296" s="4" cm="1">
        <f t="array" ref="G296">SUM((MMULT(ISNUMBER(SEARCH(TRANSPOSE(category!$E$2:$E$8), A296))*1, ROW(category!$E$2:$E$8)^0)&gt;0)*1)</f>
        <v>0</v>
      </c>
      <c r="H296" s="4" cm="1">
        <f t="array" ref="H296">SUM((MMULT(ISNUMBER(SEARCH(TRANSPOSE(category!$F$2:$F$9), A296))*1, ROW(category!$F$2:$F$9)^0)&gt;0)*1)</f>
        <v>0</v>
      </c>
    </row>
    <row r="297" spans="1:8" x14ac:dyDescent="0.45">
      <c r="A297" t="s">
        <v>624</v>
      </c>
      <c r="B297" s="6">
        <f t="shared" si="4"/>
        <v>49</v>
      </c>
      <c r="C297" s="4" cm="1">
        <f t="array" ref="C297">SUM((MMULT(ISNUMBER(SEARCH(TRANSPOSE(category!$A$2:$A$11), A297))*1, ROW(category!$A$2:$A$11)^0)&gt;0)*1)</f>
        <v>1</v>
      </c>
      <c r="D297" s="4" cm="1">
        <f t="array" ref="D297">SUM((MMULT(ISNUMBER(SEARCH(TRANSPOSE(category!$B$2:$B$25), A297))*1, ROW(category!$B$2:$B$25)^0)&gt;0)*1)</f>
        <v>1</v>
      </c>
      <c r="E297" s="4" cm="1">
        <f t="array" ref="E297">SUM((MMULT(ISNUMBER(SEARCH(TRANSPOSE(category!$C$2:$C$4), A297))*1, ROW(category!$C$2:$C$4)^0)&gt;0)*1)</f>
        <v>0</v>
      </c>
      <c r="F297" s="4" cm="1">
        <f t="array" ref="F297">SUM((MMULT(ISNUMBER(SEARCH(TRANSPOSE(category!$D$2:$D$10), A297))*1, ROW(category!$D$2:$D$10)^0)&gt;0)*1)</f>
        <v>1</v>
      </c>
      <c r="G297" s="4" cm="1">
        <f t="array" ref="G297">SUM((MMULT(ISNUMBER(SEARCH(TRANSPOSE(category!$E$2:$E$8), A297))*1, ROW(category!$E$2:$E$8)^0)&gt;0)*1)</f>
        <v>0</v>
      </c>
      <c r="H297" s="4" cm="1">
        <f t="array" ref="H297">SUM((MMULT(ISNUMBER(SEARCH(TRANSPOSE(category!$F$2:$F$9), A297))*1, ROW(category!$F$2:$F$9)^0)&gt;0)*1)</f>
        <v>0</v>
      </c>
    </row>
    <row r="298" spans="1:8" x14ac:dyDescent="0.45">
      <c r="A298" t="s">
        <v>626</v>
      </c>
      <c r="B298" s="6">
        <f t="shared" si="4"/>
        <v>8</v>
      </c>
      <c r="C298" s="4" cm="1">
        <f t="array" ref="C298">SUM((MMULT(ISNUMBER(SEARCH(TRANSPOSE(category!$A$2:$A$11), A298))*1, ROW(category!$A$2:$A$11)^0)&gt;0)*1)</f>
        <v>0</v>
      </c>
      <c r="D298" s="4" cm="1">
        <f t="array" ref="D298">SUM((MMULT(ISNUMBER(SEARCH(TRANSPOSE(category!$B$2:$B$25), A298))*1, ROW(category!$B$2:$B$25)^0)&gt;0)*1)</f>
        <v>1</v>
      </c>
      <c r="E298" s="4" cm="1">
        <f t="array" ref="E298">SUM((MMULT(ISNUMBER(SEARCH(TRANSPOSE(category!$C$2:$C$4), A298))*1, ROW(category!$C$2:$C$4)^0)&gt;0)*1)</f>
        <v>0</v>
      </c>
      <c r="F298" s="4" cm="1">
        <f t="array" ref="F298">SUM((MMULT(ISNUMBER(SEARCH(TRANSPOSE(category!$D$2:$D$10), A298))*1, ROW(category!$D$2:$D$10)^0)&gt;0)*1)</f>
        <v>0</v>
      </c>
      <c r="G298" s="4" cm="1">
        <f t="array" ref="G298">SUM((MMULT(ISNUMBER(SEARCH(TRANSPOSE(category!$E$2:$E$8), A298))*1, ROW(category!$E$2:$E$8)^0)&gt;0)*1)</f>
        <v>0</v>
      </c>
      <c r="H298" s="4" cm="1">
        <f t="array" ref="H298">SUM((MMULT(ISNUMBER(SEARCH(TRANSPOSE(category!$F$2:$F$9), A298))*1, ROW(category!$F$2:$F$9)^0)&gt;0)*1)</f>
        <v>0</v>
      </c>
    </row>
    <row r="299" spans="1:8" x14ac:dyDescent="0.45">
      <c r="A299" t="s">
        <v>628</v>
      </c>
      <c r="B299" s="6">
        <f t="shared" si="4"/>
        <v>104</v>
      </c>
      <c r="C299" s="4" cm="1">
        <f t="array" ref="C299">SUM((MMULT(ISNUMBER(SEARCH(TRANSPOSE(category!$A$2:$A$11), A299))*1, ROW(category!$A$2:$A$11)^0)&gt;0)*1)</f>
        <v>0</v>
      </c>
      <c r="D299" s="4" cm="1">
        <f t="array" ref="D299">SUM((MMULT(ISNUMBER(SEARCH(TRANSPOSE(category!$B$2:$B$25), A299))*1, ROW(category!$B$2:$B$25)^0)&gt;0)*1)</f>
        <v>1</v>
      </c>
      <c r="E299" s="4" cm="1">
        <f t="array" ref="E299">SUM((MMULT(ISNUMBER(SEARCH(TRANSPOSE(category!$C$2:$C$4), A299))*1, ROW(category!$C$2:$C$4)^0)&gt;0)*1)</f>
        <v>0</v>
      </c>
      <c r="F299" s="4" cm="1">
        <f t="array" ref="F299">SUM((MMULT(ISNUMBER(SEARCH(TRANSPOSE(category!$D$2:$D$10), A299))*1, ROW(category!$D$2:$D$10)^0)&gt;0)*1)</f>
        <v>1</v>
      </c>
      <c r="G299" s="4" cm="1">
        <f t="array" ref="G299">SUM((MMULT(ISNUMBER(SEARCH(TRANSPOSE(category!$E$2:$E$8), A299))*1, ROW(category!$E$2:$E$8)^0)&gt;0)*1)</f>
        <v>0</v>
      </c>
      <c r="H299" s="4" cm="1">
        <f t="array" ref="H299">SUM((MMULT(ISNUMBER(SEARCH(TRANSPOSE(category!$F$2:$F$9), A299))*1, ROW(category!$F$2:$F$9)^0)&gt;0)*1)</f>
        <v>0</v>
      </c>
    </row>
    <row r="300" spans="1:8" x14ac:dyDescent="0.45">
      <c r="A300" t="s">
        <v>630</v>
      </c>
      <c r="B300" s="6">
        <f t="shared" si="4"/>
        <v>40</v>
      </c>
      <c r="C300" s="4" cm="1">
        <f t="array" ref="C300">SUM((MMULT(ISNUMBER(SEARCH(TRANSPOSE(category!$A$2:$A$11), A300))*1, ROW(category!$A$2:$A$11)^0)&gt;0)*1)</f>
        <v>1</v>
      </c>
      <c r="D300" s="4" cm="1">
        <f t="array" ref="D300">SUM((MMULT(ISNUMBER(SEARCH(TRANSPOSE(category!$B$2:$B$25), A300))*1, ROW(category!$B$2:$B$25)^0)&gt;0)*1)</f>
        <v>1</v>
      </c>
      <c r="E300" s="4" cm="1">
        <f t="array" ref="E300">SUM((MMULT(ISNUMBER(SEARCH(TRANSPOSE(category!$C$2:$C$4), A300))*1, ROW(category!$C$2:$C$4)^0)&gt;0)*1)</f>
        <v>0</v>
      </c>
      <c r="F300" s="4" cm="1">
        <f t="array" ref="F300">SUM((MMULT(ISNUMBER(SEARCH(TRANSPOSE(category!$D$2:$D$10), A300))*1, ROW(category!$D$2:$D$10)^0)&gt;0)*1)</f>
        <v>1</v>
      </c>
      <c r="G300" s="4" cm="1">
        <f t="array" ref="G300">SUM((MMULT(ISNUMBER(SEARCH(TRANSPOSE(category!$E$2:$E$8), A300))*1, ROW(category!$E$2:$E$8)^0)&gt;0)*1)</f>
        <v>0</v>
      </c>
      <c r="H300" s="4" cm="1">
        <f t="array" ref="H300">SUM((MMULT(ISNUMBER(SEARCH(TRANSPOSE(category!$F$2:$F$9), A300))*1, ROW(category!$F$2:$F$9)^0)&gt;0)*1)</f>
        <v>1</v>
      </c>
    </row>
    <row r="301" spans="1:8" x14ac:dyDescent="0.45">
      <c r="A301" t="s">
        <v>632</v>
      </c>
      <c r="B301" s="6">
        <f t="shared" si="4"/>
        <v>50</v>
      </c>
      <c r="C301" s="4" cm="1">
        <f t="array" ref="C301">SUM((MMULT(ISNUMBER(SEARCH(TRANSPOSE(category!$A$2:$A$11), A301))*1, ROW(category!$A$2:$A$11)^0)&gt;0)*1)</f>
        <v>0</v>
      </c>
      <c r="D301" s="4" cm="1">
        <f t="array" ref="D301">SUM((MMULT(ISNUMBER(SEARCH(TRANSPOSE(category!$B$2:$B$25), A301))*1, ROW(category!$B$2:$B$25)^0)&gt;0)*1)</f>
        <v>1</v>
      </c>
      <c r="E301" s="4" cm="1">
        <f t="array" ref="E301">SUM((MMULT(ISNUMBER(SEARCH(TRANSPOSE(category!$C$2:$C$4), A301))*1, ROW(category!$C$2:$C$4)^0)&gt;0)*1)</f>
        <v>0</v>
      </c>
      <c r="F301" s="4" cm="1">
        <f t="array" ref="F301">SUM((MMULT(ISNUMBER(SEARCH(TRANSPOSE(category!$D$2:$D$10), A301))*1, ROW(category!$D$2:$D$10)^0)&gt;0)*1)</f>
        <v>0</v>
      </c>
      <c r="G301" s="4" cm="1">
        <f t="array" ref="G301">SUM((MMULT(ISNUMBER(SEARCH(TRANSPOSE(category!$E$2:$E$8), A301))*1, ROW(category!$E$2:$E$8)^0)&gt;0)*1)</f>
        <v>0</v>
      </c>
      <c r="H301" s="4" cm="1">
        <f t="array" ref="H301">SUM((MMULT(ISNUMBER(SEARCH(TRANSPOSE(category!$F$2:$F$9), A301))*1, ROW(category!$F$2:$F$9)^0)&gt;0)*1)</f>
        <v>0</v>
      </c>
    </row>
    <row r="302" spans="1:8" x14ac:dyDescent="0.45">
      <c r="A302" t="s">
        <v>634</v>
      </c>
      <c r="B302" s="6">
        <f t="shared" si="4"/>
        <v>5</v>
      </c>
      <c r="C302" s="4" cm="1">
        <f t="array" ref="C302">SUM((MMULT(ISNUMBER(SEARCH(TRANSPOSE(category!$A$2:$A$11), A302))*1, ROW(category!$A$2:$A$11)^0)&gt;0)*1)</f>
        <v>0</v>
      </c>
      <c r="D302" s="4" cm="1">
        <f t="array" ref="D302">SUM((MMULT(ISNUMBER(SEARCH(TRANSPOSE(category!$B$2:$B$25), A302))*1, ROW(category!$B$2:$B$25)^0)&gt;0)*1)</f>
        <v>1</v>
      </c>
      <c r="E302" s="4" cm="1">
        <f t="array" ref="E302">SUM((MMULT(ISNUMBER(SEARCH(TRANSPOSE(category!$C$2:$C$4), A302))*1, ROW(category!$C$2:$C$4)^0)&gt;0)*1)</f>
        <v>0</v>
      </c>
      <c r="F302" s="4" cm="1">
        <f t="array" ref="F302">SUM((MMULT(ISNUMBER(SEARCH(TRANSPOSE(category!$D$2:$D$10), A302))*1, ROW(category!$D$2:$D$10)^0)&gt;0)*1)</f>
        <v>0</v>
      </c>
      <c r="G302" s="4" cm="1">
        <f t="array" ref="G302">SUM((MMULT(ISNUMBER(SEARCH(TRANSPOSE(category!$E$2:$E$8), A302))*1, ROW(category!$E$2:$E$8)^0)&gt;0)*1)</f>
        <v>0</v>
      </c>
      <c r="H302" s="4" cm="1">
        <f t="array" ref="H302">SUM((MMULT(ISNUMBER(SEARCH(TRANSPOSE(category!$F$2:$F$9), A302))*1, ROW(category!$F$2:$F$9)^0)&gt;0)*1)</f>
        <v>0</v>
      </c>
    </row>
    <row r="303" spans="1:8" x14ac:dyDescent="0.45">
      <c r="A303" t="s">
        <v>636</v>
      </c>
      <c r="B303" s="6">
        <f t="shared" si="4"/>
        <v>5</v>
      </c>
      <c r="C303" s="4" cm="1">
        <f t="array" ref="C303">SUM((MMULT(ISNUMBER(SEARCH(TRANSPOSE(category!$A$2:$A$11), A303))*1, ROW(category!$A$2:$A$11)^0)&gt;0)*1)</f>
        <v>0</v>
      </c>
      <c r="D303" s="4" cm="1">
        <f t="array" ref="D303">SUM((MMULT(ISNUMBER(SEARCH(TRANSPOSE(category!$B$2:$B$25), A303))*1, ROW(category!$B$2:$B$25)^0)&gt;0)*1)</f>
        <v>1</v>
      </c>
      <c r="E303" s="4" cm="1">
        <f t="array" ref="E303">SUM((MMULT(ISNUMBER(SEARCH(TRANSPOSE(category!$C$2:$C$4), A303))*1, ROW(category!$C$2:$C$4)^0)&gt;0)*1)</f>
        <v>0</v>
      </c>
      <c r="F303" s="4" cm="1">
        <f t="array" ref="F303">SUM((MMULT(ISNUMBER(SEARCH(TRANSPOSE(category!$D$2:$D$10), A303))*1, ROW(category!$D$2:$D$10)^0)&gt;0)*1)</f>
        <v>0</v>
      </c>
      <c r="G303" s="4" cm="1">
        <f t="array" ref="G303">SUM((MMULT(ISNUMBER(SEARCH(TRANSPOSE(category!$E$2:$E$8), A303))*1, ROW(category!$E$2:$E$8)^0)&gt;0)*1)</f>
        <v>0</v>
      </c>
      <c r="H303" s="4" cm="1">
        <f t="array" ref="H303">SUM((MMULT(ISNUMBER(SEARCH(TRANSPOSE(category!$F$2:$F$9), A303))*1, ROW(category!$F$2:$F$9)^0)&gt;0)*1)</f>
        <v>0</v>
      </c>
    </row>
    <row r="304" spans="1:8" x14ac:dyDescent="0.45">
      <c r="A304" t="s">
        <v>638</v>
      </c>
      <c r="B304" s="6">
        <f t="shared" si="4"/>
        <v>5</v>
      </c>
      <c r="C304" s="4" cm="1">
        <f t="array" ref="C304">SUM((MMULT(ISNUMBER(SEARCH(TRANSPOSE(category!$A$2:$A$11), A304))*1, ROW(category!$A$2:$A$11)^0)&gt;0)*1)</f>
        <v>0</v>
      </c>
      <c r="D304" s="4" cm="1">
        <f t="array" ref="D304">SUM((MMULT(ISNUMBER(SEARCH(TRANSPOSE(category!$B$2:$B$25), A304))*1, ROW(category!$B$2:$B$25)^0)&gt;0)*1)</f>
        <v>1</v>
      </c>
      <c r="E304" s="4" cm="1">
        <f t="array" ref="E304">SUM((MMULT(ISNUMBER(SEARCH(TRANSPOSE(category!$C$2:$C$4), A304))*1, ROW(category!$C$2:$C$4)^0)&gt;0)*1)</f>
        <v>0</v>
      </c>
      <c r="F304" s="4" cm="1">
        <f t="array" ref="F304">SUM((MMULT(ISNUMBER(SEARCH(TRANSPOSE(category!$D$2:$D$10), A304))*1, ROW(category!$D$2:$D$10)^0)&gt;0)*1)</f>
        <v>0</v>
      </c>
      <c r="G304" s="4" cm="1">
        <f t="array" ref="G304">SUM((MMULT(ISNUMBER(SEARCH(TRANSPOSE(category!$E$2:$E$8), A304))*1, ROW(category!$E$2:$E$8)^0)&gt;0)*1)</f>
        <v>0</v>
      </c>
      <c r="H304" s="4" cm="1">
        <f t="array" ref="H304">SUM((MMULT(ISNUMBER(SEARCH(TRANSPOSE(category!$F$2:$F$9), A304))*1, ROW(category!$F$2:$F$9)^0)&gt;0)*1)</f>
        <v>0</v>
      </c>
    </row>
    <row r="305" spans="1:8" x14ac:dyDescent="0.45">
      <c r="A305" t="s">
        <v>640</v>
      </c>
      <c r="B305" s="6">
        <f t="shared" si="4"/>
        <v>9</v>
      </c>
      <c r="C305" s="4" cm="1">
        <f t="array" ref="C305">SUM((MMULT(ISNUMBER(SEARCH(TRANSPOSE(category!$A$2:$A$11), A305))*1, ROW(category!$A$2:$A$11)^0)&gt;0)*1)</f>
        <v>0</v>
      </c>
      <c r="D305" s="4" cm="1">
        <f t="array" ref="D305">SUM((MMULT(ISNUMBER(SEARCH(TRANSPOSE(category!$B$2:$B$25), A305))*1, ROW(category!$B$2:$B$25)^0)&gt;0)*1)</f>
        <v>1</v>
      </c>
      <c r="E305" s="4" cm="1">
        <f t="array" ref="E305">SUM((MMULT(ISNUMBER(SEARCH(TRANSPOSE(category!$C$2:$C$4), A305))*1, ROW(category!$C$2:$C$4)^0)&gt;0)*1)</f>
        <v>0</v>
      </c>
      <c r="F305" s="4" cm="1">
        <f t="array" ref="F305">SUM((MMULT(ISNUMBER(SEARCH(TRANSPOSE(category!$D$2:$D$10), A305))*1, ROW(category!$D$2:$D$10)^0)&gt;0)*1)</f>
        <v>0</v>
      </c>
      <c r="G305" s="4" cm="1">
        <f t="array" ref="G305">SUM((MMULT(ISNUMBER(SEARCH(TRANSPOSE(category!$E$2:$E$8), A305))*1, ROW(category!$E$2:$E$8)^0)&gt;0)*1)</f>
        <v>0</v>
      </c>
      <c r="H305" s="4" cm="1">
        <f t="array" ref="H305">SUM((MMULT(ISNUMBER(SEARCH(TRANSPOSE(category!$F$2:$F$9), A305))*1, ROW(category!$F$2:$F$9)^0)&gt;0)*1)</f>
        <v>0</v>
      </c>
    </row>
    <row r="306" spans="1:8" x14ac:dyDescent="0.45">
      <c r="A306" t="s">
        <v>642</v>
      </c>
      <c r="B306" s="6">
        <f t="shared" si="4"/>
        <v>9</v>
      </c>
      <c r="C306" s="4" cm="1">
        <f t="array" ref="C306">SUM((MMULT(ISNUMBER(SEARCH(TRANSPOSE(category!$A$2:$A$11), A306))*1, ROW(category!$A$2:$A$11)^0)&gt;0)*1)</f>
        <v>0</v>
      </c>
      <c r="D306" s="4" cm="1">
        <f t="array" ref="D306">SUM((MMULT(ISNUMBER(SEARCH(TRANSPOSE(category!$B$2:$B$25), A306))*1, ROW(category!$B$2:$B$25)^0)&gt;0)*1)</f>
        <v>1</v>
      </c>
      <c r="E306" s="4" cm="1">
        <f t="array" ref="E306">SUM((MMULT(ISNUMBER(SEARCH(TRANSPOSE(category!$C$2:$C$4), A306))*1, ROW(category!$C$2:$C$4)^0)&gt;0)*1)</f>
        <v>0</v>
      </c>
      <c r="F306" s="4" cm="1">
        <f t="array" ref="F306">SUM((MMULT(ISNUMBER(SEARCH(TRANSPOSE(category!$D$2:$D$10), A306))*1, ROW(category!$D$2:$D$10)^0)&gt;0)*1)</f>
        <v>0</v>
      </c>
      <c r="G306" s="4" cm="1">
        <f t="array" ref="G306">SUM((MMULT(ISNUMBER(SEARCH(TRANSPOSE(category!$E$2:$E$8), A306))*1, ROW(category!$E$2:$E$8)^0)&gt;0)*1)</f>
        <v>0</v>
      </c>
      <c r="H306" s="4" cm="1">
        <f t="array" ref="H306">SUM((MMULT(ISNUMBER(SEARCH(TRANSPOSE(category!$F$2:$F$9), A306))*1, ROW(category!$F$2:$F$9)^0)&gt;0)*1)</f>
        <v>0</v>
      </c>
    </row>
    <row r="307" spans="1:8" x14ac:dyDescent="0.45">
      <c r="A307" t="s">
        <v>644</v>
      </c>
      <c r="B307" s="6">
        <f t="shared" si="4"/>
        <v>6</v>
      </c>
      <c r="C307" s="4" cm="1">
        <f t="array" ref="C307">SUM((MMULT(ISNUMBER(SEARCH(TRANSPOSE(category!$A$2:$A$11), A307))*1, ROW(category!$A$2:$A$11)^0)&gt;0)*1)</f>
        <v>0</v>
      </c>
      <c r="D307" s="4" cm="1">
        <f t="array" ref="D307">SUM((MMULT(ISNUMBER(SEARCH(TRANSPOSE(category!$B$2:$B$25), A307))*1, ROW(category!$B$2:$B$25)^0)&gt;0)*1)</f>
        <v>1</v>
      </c>
      <c r="E307" s="4" cm="1">
        <f t="array" ref="E307">SUM((MMULT(ISNUMBER(SEARCH(TRANSPOSE(category!$C$2:$C$4), A307))*1, ROW(category!$C$2:$C$4)^0)&gt;0)*1)</f>
        <v>0</v>
      </c>
      <c r="F307" s="4" cm="1">
        <f t="array" ref="F307">SUM((MMULT(ISNUMBER(SEARCH(TRANSPOSE(category!$D$2:$D$10), A307))*1, ROW(category!$D$2:$D$10)^0)&gt;0)*1)</f>
        <v>0</v>
      </c>
      <c r="G307" s="4" cm="1">
        <f t="array" ref="G307">SUM((MMULT(ISNUMBER(SEARCH(TRANSPOSE(category!$E$2:$E$8), A307))*1, ROW(category!$E$2:$E$8)^0)&gt;0)*1)</f>
        <v>0</v>
      </c>
      <c r="H307" s="4" cm="1">
        <f t="array" ref="H307">SUM((MMULT(ISNUMBER(SEARCH(TRANSPOSE(category!$F$2:$F$9), A307))*1, ROW(category!$F$2:$F$9)^0)&gt;0)*1)</f>
        <v>0</v>
      </c>
    </row>
    <row r="308" spans="1:8" x14ac:dyDescent="0.45">
      <c r="A308" t="s">
        <v>646</v>
      </c>
      <c r="B308" s="6">
        <f t="shared" si="4"/>
        <v>13</v>
      </c>
      <c r="C308" s="4" cm="1">
        <f t="array" ref="C308">SUM((MMULT(ISNUMBER(SEARCH(TRANSPOSE(category!$A$2:$A$11), A308))*1, ROW(category!$A$2:$A$11)^0)&gt;0)*1)</f>
        <v>0</v>
      </c>
      <c r="D308" s="4" cm="1">
        <f t="array" ref="D308">SUM((MMULT(ISNUMBER(SEARCH(TRANSPOSE(category!$B$2:$B$25), A308))*1, ROW(category!$B$2:$B$25)^0)&gt;0)*1)</f>
        <v>1</v>
      </c>
      <c r="E308" s="4" cm="1">
        <f t="array" ref="E308">SUM((MMULT(ISNUMBER(SEARCH(TRANSPOSE(category!$C$2:$C$4), A308))*1, ROW(category!$C$2:$C$4)^0)&gt;0)*1)</f>
        <v>0</v>
      </c>
      <c r="F308" s="4" cm="1">
        <f t="array" ref="F308">SUM((MMULT(ISNUMBER(SEARCH(TRANSPOSE(category!$D$2:$D$10), A308))*1, ROW(category!$D$2:$D$10)^0)&gt;0)*1)</f>
        <v>0</v>
      </c>
      <c r="G308" s="4" cm="1">
        <f t="array" ref="G308">SUM((MMULT(ISNUMBER(SEARCH(TRANSPOSE(category!$E$2:$E$8), A308))*1, ROW(category!$E$2:$E$8)^0)&gt;0)*1)</f>
        <v>0</v>
      </c>
      <c r="H308" s="4" cm="1">
        <f t="array" ref="H308">SUM((MMULT(ISNUMBER(SEARCH(TRANSPOSE(category!$F$2:$F$9), A308))*1, ROW(category!$F$2:$F$9)^0)&gt;0)*1)</f>
        <v>0</v>
      </c>
    </row>
    <row r="309" spans="1:8" x14ac:dyDescent="0.45">
      <c r="A309" t="s">
        <v>648</v>
      </c>
      <c r="B309" s="6">
        <f t="shared" si="4"/>
        <v>5</v>
      </c>
      <c r="C309" s="4" cm="1">
        <f t="array" ref="C309">SUM((MMULT(ISNUMBER(SEARCH(TRANSPOSE(category!$A$2:$A$11), A309))*1, ROW(category!$A$2:$A$11)^0)&gt;0)*1)</f>
        <v>0</v>
      </c>
      <c r="D309" s="4" cm="1">
        <f t="array" ref="D309">SUM((MMULT(ISNUMBER(SEARCH(TRANSPOSE(category!$B$2:$B$25), A309))*1, ROW(category!$B$2:$B$25)^0)&gt;0)*1)</f>
        <v>1</v>
      </c>
      <c r="E309" s="4" cm="1">
        <f t="array" ref="E309">SUM((MMULT(ISNUMBER(SEARCH(TRANSPOSE(category!$C$2:$C$4), A309))*1, ROW(category!$C$2:$C$4)^0)&gt;0)*1)</f>
        <v>0</v>
      </c>
      <c r="F309" s="4" cm="1">
        <f t="array" ref="F309">SUM((MMULT(ISNUMBER(SEARCH(TRANSPOSE(category!$D$2:$D$10), A309))*1, ROW(category!$D$2:$D$10)^0)&gt;0)*1)</f>
        <v>0</v>
      </c>
      <c r="G309" s="4" cm="1">
        <f t="array" ref="G309">SUM((MMULT(ISNUMBER(SEARCH(TRANSPOSE(category!$E$2:$E$8), A309))*1, ROW(category!$E$2:$E$8)^0)&gt;0)*1)</f>
        <v>0</v>
      </c>
      <c r="H309" s="4" cm="1">
        <f t="array" ref="H309">SUM((MMULT(ISNUMBER(SEARCH(TRANSPOSE(category!$F$2:$F$9), A309))*1, ROW(category!$F$2:$F$9)^0)&gt;0)*1)</f>
        <v>0</v>
      </c>
    </row>
    <row r="310" spans="1:8" x14ac:dyDescent="0.45">
      <c r="A310" t="s">
        <v>650</v>
      </c>
      <c r="B310" s="6">
        <f t="shared" si="4"/>
        <v>59</v>
      </c>
      <c r="C310" s="4" cm="1">
        <f t="array" ref="C310">SUM((MMULT(ISNUMBER(SEARCH(TRANSPOSE(category!$A$2:$A$11), A310))*1, ROW(category!$A$2:$A$11)^0)&gt;0)*1)</f>
        <v>1</v>
      </c>
      <c r="D310" s="4" cm="1">
        <f t="array" ref="D310">SUM((MMULT(ISNUMBER(SEARCH(TRANSPOSE(category!$B$2:$B$25), A310))*1, ROW(category!$B$2:$B$25)^0)&gt;0)*1)</f>
        <v>1</v>
      </c>
      <c r="E310" s="4" cm="1">
        <f t="array" ref="E310">SUM((MMULT(ISNUMBER(SEARCH(TRANSPOSE(category!$C$2:$C$4), A310))*1, ROW(category!$C$2:$C$4)^0)&gt;0)*1)</f>
        <v>0</v>
      </c>
      <c r="F310" s="4" cm="1">
        <f t="array" ref="F310">SUM((MMULT(ISNUMBER(SEARCH(TRANSPOSE(category!$D$2:$D$10), A310))*1, ROW(category!$D$2:$D$10)^0)&gt;0)*1)</f>
        <v>1</v>
      </c>
      <c r="G310" s="4" cm="1">
        <f t="array" ref="G310">SUM((MMULT(ISNUMBER(SEARCH(TRANSPOSE(category!$E$2:$E$8), A310))*1, ROW(category!$E$2:$E$8)^0)&gt;0)*1)</f>
        <v>0</v>
      </c>
      <c r="H310" s="4" cm="1">
        <f t="array" ref="H310">SUM((MMULT(ISNUMBER(SEARCH(TRANSPOSE(category!$F$2:$F$9), A310))*1, ROW(category!$F$2:$F$9)^0)&gt;0)*1)</f>
        <v>0</v>
      </c>
    </row>
    <row r="311" spans="1:8" x14ac:dyDescent="0.45">
      <c r="A311" t="s">
        <v>652</v>
      </c>
      <c r="B311" s="6">
        <f t="shared" si="4"/>
        <v>50</v>
      </c>
      <c r="C311" s="4" cm="1">
        <f t="array" ref="C311">SUM((MMULT(ISNUMBER(SEARCH(TRANSPOSE(category!$A$2:$A$11), A311))*1, ROW(category!$A$2:$A$11)^0)&gt;0)*1)</f>
        <v>1</v>
      </c>
      <c r="D311" s="4" cm="1">
        <f t="array" ref="D311">SUM((MMULT(ISNUMBER(SEARCH(TRANSPOSE(category!$B$2:$B$25), A311))*1, ROW(category!$B$2:$B$25)^0)&gt;0)*1)</f>
        <v>1</v>
      </c>
      <c r="E311" s="4" cm="1">
        <f t="array" ref="E311">SUM((MMULT(ISNUMBER(SEARCH(TRANSPOSE(category!$C$2:$C$4), A311))*1, ROW(category!$C$2:$C$4)^0)&gt;0)*1)</f>
        <v>0</v>
      </c>
      <c r="F311" s="4" cm="1">
        <f t="array" ref="F311">SUM((MMULT(ISNUMBER(SEARCH(TRANSPOSE(category!$D$2:$D$10), A311))*1, ROW(category!$D$2:$D$10)^0)&gt;0)*1)</f>
        <v>1</v>
      </c>
      <c r="G311" s="4" cm="1">
        <f t="array" ref="G311">SUM((MMULT(ISNUMBER(SEARCH(TRANSPOSE(category!$E$2:$E$8), A311))*1, ROW(category!$E$2:$E$8)^0)&gt;0)*1)</f>
        <v>0</v>
      </c>
      <c r="H311" s="4" cm="1">
        <f t="array" ref="H311">SUM((MMULT(ISNUMBER(SEARCH(TRANSPOSE(category!$F$2:$F$9), A311))*1, ROW(category!$F$2:$F$9)^0)&gt;0)*1)</f>
        <v>0</v>
      </c>
    </row>
    <row r="312" spans="1:8" x14ac:dyDescent="0.45">
      <c r="A312" t="s">
        <v>654</v>
      </c>
      <c r="B312" s="6">
        <f t="shared" si="4"/>
        <v>9</v>
      </c>
      <c r="C312" s="4" cm="1">
        <f t="array" ref="C312">SUM((MMULT(ISNUMBER(SEARCH(TRANSPOSE(category!$A$2:$A$11), A312))*1, ROW(category!$A$2:$A$11)^0)&gt;0)*1)</f>
        <v>0</v>
      </c>
      <c r="D312" s="4" cm="1">
        <f t="array" ref="D312">SUM((MMULT(ISNUMBER(SEARCH(TRANSPOSE(category!$B$2:$B$25), A312))*1, ROW(category!$B$2:$B$25)^0)&gt;0)*1)</f>
        <v>1</v>
      </c>
      <c r="E312" s="4" cm="1">
        <f t="array" ref="E312">SUM((MMULT(ISNUMBER(SEARCH(TRANSPOSE(category!$C$2:$C$4), A312))*1, ROW(category!$C$2:$C$4)^0)&gt;0)*1)</f>
        <v>0</v>
      </c>
      <c r="F312" s="4" cm="1">
        <f t="array" ref="F312">SUM((MMULT(ISNUMBER(SEARCH(TRANSPOSE(category!$D$2:$D$10), A312))*1, ROW(category!$D$2:$D$10)^0)&gt;0)*1)</f>
        <v>0</v>
      </c>
      <c r="G312" s="4" cm="1">
        <f t="array" ref="G312">SUM((MMULT(ISNUMBER(SEARCH(TRANSPOSE(category!$E$2:$E$8), A312))*1, ROW(category!$E$2:$E$8)^0)&gt;0)*1)</f>
        <v>0</v>
      </c>
      <c r="H312" s="4" cm="1">
        <f t="array" ref="H312">SUM((MMULT(ISNUMBER(SEARCH(TRANSPOSE(category!$F$2:$F$9), A312))*1, ROW(category!$F$2:$F$9)^0)&gt;0)*1)</f>
        <v>0</v>
      </c>
    </row>
    <row r="313" spans="1:8" x14ac:dyDescent="0.45">
      <c r="A313" t="s">
        <v>570</v>
      </c>
      <c r="B313" s="6">
        <f t="shared" si="4"/>
        <v>2</v>
      </c>
      <c r="C313" s="4" cm="1">
        <f t="array" ref="C313">SUM((MMULT(ISNUMBER(SEARCH(TRANSPOSE(category!$A$2:$A$11), A313))*1, ROW(category!$A$2:$A$11)^0)&gt;0)*1)</f>
        <v>0</v>
      </c>
      <c r="D313" s="4" cm="1">
        <f t="array" ref="D313">SUM((MMULT(ISNUMBER(SEARCH(TRANSPOSE(category!$B$2:$B$25), A313))*1, ROW(category!$B$2:$B$25)^0)&gt;0)*1)</f>
        <v>1</v>
      </c>
      <c r="E313" s="4" cm="1">
        <f t="array" ref="E313">SUM((MMULT(ISNUMBER(SEARCH(TRANSPOSE(category!$C$2:$C$4), A313))*1, ROW(category!$C$2:$C$4)^0)&gt;0)*1)</f>
        <v>0</v>
      </c>
      <c r="F313" s="4" cm="1">
        <f t="array" ref="F313">SUM((MMULT(ISNUMBER(SEARCH(TRANSPOSE(category!$D$2:$D$10), A313))*1, ROW(category!$D$2:$D$10)^0)&gt;0)*1)</f>
        <v>0</v>
      </c>
      <c r="G313" s="4" cm="1">
        <f t="array" ref="G313">SUM((MMULT(ISNUMBER(SEARCH(TRANSPOSE(category!$E$2:$E$8), A313))*1, ROW(category!$E$2:$E$8)^0)&gt;0)*1)</f>
        <v>0</v>
      </c>
      <c r="H313" s="4" cm="1">
        <f t="array" ref="H313">SUM((MMULT(ISNUMBER(SEARCH(TRANSPOSE(category!$F$2:$F$9), A313))*1, ROW(category!$F$2:$F$9)^0)&gt;0)*1)</f>
        <v>0</v>
      </c>
    </row>
    <row r="314" spans="1:8" x14ac:dyDescent="0.45">
      <c r="A314" t="s">
        <v>657</v>
      </c>
      <c r="B314" s="6">
        <f t="shared" si="4"/>
        <v>8</v>
      </c>
      <c r="C314" s="4" cm="1">
        <f t="array" ref="C314">SUM((MMULT(ISNUMBER(SEARCH(TRANSPOSE(category!$A$2:$A$11), A314))*1, ROW(category!$A$2:$A$11)^0)&gt;0)*1)</f>
        <v>0</v>
      </c>
      <c r="D314" s="4" cm="1">
        <f t="array" ref="D314">SUM((MMULT(ISNUMBER(SEARCH(TRANSPOSE(category!$B$2:$B$25), A314))*1, ROW(category!$B$2:$B$25)^0)&gt;0)*1)</f>
        <v>1</v>
      </c>
      <c r="E314" s="4" cm="1">
        <f t="array" ref="E314">SUM((MMULT(ISNUMBER(SEARCH(TRANSPOSE(category!$C$2:$C$4), A314))*1, ROW(category!$C$2:$C$4)^0)&gt;0)*1)</f>
        <v>0</v>
      </c>
      <c r="F314" s="4" cm="1">
        <f t="array" ref="F314">SUM((MMULT(ISNUMBER(SEARCH(TRANSPOSE(category!$D$2:$D$10), A314))*1, ROW(category!$D$2:$D$10)^0)&gt;0)*1)</f>
        <v>0</v>
      </c>
      <c r="G314" s="4" cm="1">
        <f t="array" ref="G314">SUM((MMULT(ISNUMBER(SEARCH(TRANSPOSE(category!$E$2:$E$8), A314))*1, ROW(category!$E$2:$E$8)^0)&gt;0)*1)</f>
        <v>0</v>
      </c>
      <c r="H314" s="4" cm="1">
        <f t="array" ref="H314">SUM((MMULT(ISNUMBER(SEARCH(TRANSPOSE(category!$F$2:$F$9), A314))*1, ROW(category!$F$2:$F$9)^0)&gt;0)*1)</f>
        <v>0</v>
      </c>
    </row>
    <row r="315" spans="1:8" x14ac:dyDescent="0.45">
      <c r="A315" t="s">
        <v>659</v>
      </c>
      <c r="B315" s="6">
        <f t="shared" si="4"/>
        <v>42</v>
      </c>
      <c r="C315" s="4" cm="1">
        <f t="array" ref="C315">SUM((MMULT(ISNUMBER(SEARCH(TRANSPOSE(category!$A$2:$A$11), A315))*1, ROW(category!$A$2:$A$11)^0)&gt;0)*1)</f>
        <v>0</v>
      </c>
      <c r="D315" s="4" cm="1">
        <f t="array" ref="D315">SUM((MMULT(ISNUMBER(SEARCH(TRANSPOSE(category!$B$2:$B$25), A315))*1, ROW(category!$B$2:$B$25)^0)&gt;0)*1)</f>
        <v>1</v>
      </c>
      <c r="E315" s="4" cm="1">
        <f t="array" ref="E315">SUM((MMULT(ISNUMBER(SEARCH(TRANSPOSE(category!$C$2:$C$4), A315))*1, ROW(category!$C$2:$C$4)^0)&gt;0)*1)</f>
        <v>0</v>
      </c>
      <c r="F315" s="4" cm="1">
        <f t="array" ref="F315">SUM((MMULT(ISNUMBER(SEARCH(TRANSPOSE(category!$D$2:$D$10), A315))*1, ROW(category!$D$2:$D$10)^0)&gt;0)*1)</f>
        <v>1</v>
      </c>
      <c r="G315" s="4" cm="1">
        <f t="array" ref="G315">SUM((MMULT(ISNUMBER(SEARCH(TRANSPOSE(category!$E$2:$E$8), A315))*1, ROW(category!$E$2:$E$8)^0)&gt;0)*1)</f>
        <v>0</v>
      </c>
      <c r="H315" s="4" cm="1">
        <f t="array" ref="H315">SUM((MMULT(ISNUMBER(SEARCH(TRANSPOSE(category!$F$2:$F$9), A315))*1, ROW(category!$F$2:$F$9)^0)&gt;0)*1)</f>
        <v>0</v>
      </c>
    </row>
    <row r="316" spans="1:8" x14ac:dyDescent="0.45">
      <c r="A316" t="s">
        <v>661</v>
      </c>
      <c r="B316" s="6">
        <f t="shared" si="4"/>
        <v>4</v>
      </c>
      <c r="C316" s="4" cm="1">
        <f t="array" ref="C316">SUM((MMULT(ISNUMBER(SEARCH(TRANSPOSE(category!$A$2:$A$11), A316))*1, ROW(category!$A$2:$A$11)^0)&gt;0)*1)</f>
        <v>0</v>
      </c>
      <c r="D316" s="4" cm="1">
        <f t="array" ref="D316">SUM((MMULT(ISNUMBER(SEARCH(TRANSPOSE(category!$B$2:$B$25), A316))*1, ROW(category!$B$2:$B$25)^0)&gt;0)*1)</f>
        <v>1</v>
      </c>
      <c r="E316" s="4" cm="1">
        <f t="array" ref="E316">SUM((MMULT(ISNUMBER(SEARCH(TRANSPOSE(category!$C$2:$C$4), A316))*1, ROW(category!$C$2:$C$4)^0)&gt;0)*1)</f>
        <v>0</v>
      </c>
      <c r="F316" s="4" cm="1">
        <f t="array" ref="F316">SUM((MMULT(ISNUMBER(SEARCH(TRANSPOSE(category!$D$2:$D$10), A316))*1, ROW(category!$D$2:$D$10)^0)&gt;0)*1)</f>
        <v>0</v>
      </c>
      <c r="G316" s="4" cm="1">
        <f t="array" ref="G316">SUM((MMULT(ISNUMBER(SEARCH(TRANSPOSE(category!$E$2:$E$8), A316))*1, ROW(category!$E$2:$E$8)^0)&gt;0)*1)</f>
        <v>0</v>
      </c>
      <c r="H316" s="4" cm="1">
        <f t="array" ref="H316">SUM((MMULT(ISNUMBER(SEARCH(TRANSPOSE(category!$F$2:$F$9), A316))*1, ROW(category!$F$2:$F$9)^0)&gt;0)*1)</f>
        <v>0</v>
      </c>
    </row>
    <row r="317" spans="1:8" x14ac:dyDescent="0.45">
      <c r="A317" t="s">
        <v>663</v>
      </c>
      <c r="B317" s="6">
        <f t="shared" si="4"/>
        <v>7</v>
      </c>
      <c r="C317" s="4" cm="1">
        <f t="array" ref="C317">SUM((MMULT(ISNUMBER(SEARCH(TRANSPOSE(category!$A$2:$A$11), A317))*1, ROW(category!$A$2:$A$11)^0)&gt;0)*1)</f>
        <v>0</v>
      </c>
      <c r="D317" s="4" cm="1">
        <f t="array" ref="D317">SUM((MMULT(ISNUMBER(SEARCH(TRANSPOSE(category!$B$2:$B$25), A317))*1, ROW(category!$B$2:$B$25)^0)&gt;0)*1)</f>
        <v>0</v>
      </c>
      <c r="E317" s="4" cm="1">
        <f t="array" ref="E317">SUM((MMULT(ISNUMBER(SEARCH(TRANSPOSE(category!$C$2:$C$4), A317))*1, ROW(category!$C$2:$C$4)^0)&gt;0)*1)</f>
        <v>0</v>
      </c>
      <c r="F317" s="4" cm="1">
        <f t="array" ref="F317">SUM((MMULT(ISNUMBER(SEARCH(TRANSPOSE(category!$D$2:$D$10), A317))*1, ROW(category!$D$2:$D$10)^0)&gt;0)*1)</f>
        <v>0</v>
      </c>
      <c r="G317" s="4" cm="1">
        <f t="array" ref="G317">SUM((MMULT(ISNUMBER(SEARCH(TRANSPOSE(category!$E$2:$E$8), A317))*1, ROW(category!$E$2:$E$8)^0)&gt;0)*1)</f>
        <v>0</v>
      </c>
      <c r="H317" s="4" cm="1">
        <f t="array" ref="H317">SUM((MMULT(ISNUMBER(SEARCH(TRANSPOSE(category!$F$2:$F$9), A317))*1, ROW(category!$F$2:$F$9)^0)&gt;0)*1)</f>
        <v>0</v>
      </c>
    </row>
    <row r="318" spans="1:8" x14ac:dyDescent="0.45">
      <c r="A318" t="s">
        <v>665</v>
      </c>
      <c r="B318" s="6">
        <f t="shared" si="4"/>
        <v>8</v>
      </c>
      <c r="C318" s="4" cm="1">
        <f t="array" ref="C318">SUM((MMULT(ISNUMBER(SEARCH(TRANSPOSE(category!$A$2:$A$11), A318))*1, ROW(category!$A$2:$A$11)^0)&gt;0)*1)</f>
        <v>0</v>
      </c>
      <c r="D318" s="4" cm="1">
        <f t="array" ref="D318">SUM((MMULT(ISNUMBER(SEARCH(TRANSPOSE(category!$B$2:$B$25), A318))*1, ROW(category!$B$2:$B$25)^0)&gt;0)*1)</f>
        <v>1</v>
      </c>
      <c r="E318" s="4" cm="1">
        <f t="array" ref="E318">SUM((MMULT(ISNUMBER(SEARCH(TRANSPOSE(category!$C$2:$C$4), A318))*1, ROW(category!$C$2:$C$4)^0)&gt;0)*1)</f>
        <v>0</v>
      </c>
      <c r="F318" s="4" cm="1">
        <f t="array" ref="F318">SUM((MMULT(ISNUMBER(SEARCH(TRANSPOSE(category!$D$2:$D$10), A318))*1, ROW(category!$D$2:$D$10)^0)&gt;0)*1)</f>
        <v>0</v>
      </c>
      <c r="G318" s="4" cm="1">
        <f t="array" ref="G318">SUM((MMULT(ISNUMBER(SEARCH(TRANSPOSE(category!$E$2:$E$8), A318))*1, ROW(category!$E$2:$E$8)^0)&gt;0)*1)</f>
        <v>0</v>
      </c>
      <c r="H318" s="4" cm="1">
        <f t="array" ref="H318">SUM((MMULT(ISNUMBER(SEARCH(TRANSPOSE(category!$F$2:$F$9), A318))*1, ROW(category!$F$2:$F$9)^0)&gt;0)*1)</f>
        <v>0</v>
      </c>
    </row>
    <row r="319" spans="1:8" x14ac:dyDescent="0.45">
      <c r="A319" t="s">
        <v>668</v>
      </c>
      <c r="B319" s="6">
        <f t="shared" si="4"/>
        <v>16</v>
      </c>
      <c r="C319" s="4" cm="1">
        <f t="array" ref="C319">SUM((MMULT(ISNUMBER(SEARCH(TRANSPOSE(category!$A$2:$A$11), A319))*1, ROW(category!$A$2:$A$11)^0)&gt;0)*1)</f>
        <v>0</v>
      </c>
      <c r="D319" s="4" cm="1">
        <f t="array" ref="D319">SUM((MMULT(ISNUMBER(SEARCH(TRANSPOSE(category!$B$2:$B$25), A319))*1, ROW(category!$B$2:$B$25)^0)&gt;0)*1)</f>
        <v>1</v>
      </c>
      <c r="E319" s="4" cm="1">
        <f t="array" ref="E319">SUM((MMULT(ISNUMBER(SEARCH(TRANSPOSE(category!$C$2:$C$4), A319))*1, ROW(category!$C$2:$C$4)^0)&gt;0)*1)</f>
        <v>0</v>
      </c>
      <c r="F319" s="4" cm="1">
        <f t="array" ref="F319">SUM((MMULT(ISNUMBER(SEARCH(TRANSPOSE(category!$D$2:$D$10), A319))*1, ROW(category!$D$2:$D$10)^0)&gt;0)*1)</f>
        <v>0</v>
      </c>
      <c r="G319" s="4" cm="1">
        <f t="array" ref="G319">SUM((MMULT(ISNUMBER(SEARCH(TRANSPOSE(category!$E$2:$E$8), A319))*1, ROW(category!$E$2:$E$8)^0)&gt;0)*1)</f>
        <v>0</v>
      </c>
      <c r="H319" s="4" cm="1">
        <f t="array" ref="H319">SUM((MMULT(ISNUMBER(SEARCH(TRANSPOSE(category!$F$2:$F$9), A319))*1, ROW(category!$F$2:$F$9)^0)&gt;0)*1)</f>
        <v>0</v>
      </c>
    </row>
    <row r="320" spans="1:8" x14ac:dyDescent="0.45">
      <c r="A320" t="s">
        <v>670</v>
      </c>
      <c r="B320" s="6">
        <f t="shared" si="4"/>
        <v>41</v>
      </c>
      <c r="C320" s="4" cm="1">
        <f t="array" ref="C320">SUM((MMULT(ISNUMBER(SEARCH(TRANSPOSE(category!$A$2:$A$11), A320))*1, ROW(category!$A$2:$A$11)^0)&gt;0)*1)</f>
        <v>1</v>
      </c>
      <c r="D320" s="4" cm="1">
        <f t="array" ref="D320">SUM((MMULT(ISNUMBER(SEARCH(TRANSPOSE(category!$B$2:$B$25), A320))*1, ROW(category!$B$2:$B$25)^0)&gt;0)*1)</f>
        <v>1</v>
      </c>
      <c r="E320" s="4" cm="1">
        <f t="array" ref="E320">SUM((MMULT(ISNUMBER(SEARCH(TRANSPOSE(category!$C$2:$C$4), A320))*1, ROW(category!$C$2:$C$4)^0)&gt;0)*1)</f>
        <v>1</v>
      </c>
      <c r="F320" s="4" cm="1">
        <f t="array" ref="F320">SUM((MMULT(ISNUMBER(SEARCH(TRANSPOSE(category!$D$2:$D$10), A320))*1, ROW(category!$D$2:$D$10)^0)&gt;0)*1)</f>
        <v>1</v>
      </c>
      <c r="G320" s="4" cm="1">
        <f t="array" ref="G320">SUM((MMULT(ISNUMBER(SEARCH(TRANSPOSE(category!$E$2:$E$8), A320))*1, ROW(category!$E$2:$E$8)^0)&gt;0)*1)</f>
        <v>0</v>
      </c>
      <c r="H320" s="4" cm="1">
        <f t="array" ref="H320">SUM((MMULT(ISNUMBER(SEARCH(TRANSPOSE(category!$F$2:$F$9), A320))*1, ROW(category!$F$2:$F$9)^0)&gt;0)*1)</f>
        <v>0</v>
      </c>
    </row>
    <row r="321" spans="1:8" x14ac:dyDescent="0.45">
      <c r="A321" t="s">
        <v>672</v>
      </c>
      <c r="B321" s="6">
        <f t="shared" si="4"/>
        <v>35</v>
      </c>
      <c r="C321" s="4" cm="1">
        <f t="array" ref="C321">SUM((MMULT(ISNUMBER(SEARCH(TRANSPOSE(category!$A$2:$A$11), A321))*1, ROW(category!$A$2:$A$11)^0)&gt;0)*1)</f>
        <v>0</v>
      </c>
      <c r="D321" s="4" cm="1">
        <f t="array" ref="D321">SUM((MMULT(ISNUMBER(SEARCH(TRANSPOSE(category!$B$2:$B$25), A321))*1, ROW(category!$B$2:$B$25)^0)&gt;0)*1)</f>
        <v>1</v>
      </c>
      <c r="E321" s="4" cm="1">
        <f t="array" ref="E321">SUM((MMULT(ISNUMBER(SEARCH(TRANSPOSE(category!$C$2:$C$4), A321))*1, ROW(category!$C$2:$C$4)^0)&gt;0)*1)</f>
        <v>0</v>
      </c>
      <c r="F321" s="4" cm="1">
        <f t="array" ref="F321">SUM((MMULT(ISNUMBER(SEARCH(TRANSPOSE(category!$D$2:$D$10), A321))*1, ROW(category!$D$2:$D$10)^0)&gt;0)*1)</f>
        <v>1</v>
      </c>
      <c r="G321" s="4" cm="1">
        <f t="array" ref="G321">SUM((MMULT(ISNUMBER(SEARCH(TRANSPOSE(category!$E$2:$E$8), A321))*1, ROW(category!$E$2:$E$8)^0)&gt;0)*1)</f>
        <v>0</v>
      </c>
      <c r="H321" s="4" cm="1">
        <f t="array" ref="H321">SUM((MMULT(ISNUMBER(SEARCH(TRANSPOSE(category!$F$2:$F$9), A321))*1, ROW(category!$F$2:$F$9)^0)&gt;0)*1)</f>
        <v>0</v>
      </c>
    </row>
    <row r="322" spans="1:8" x14ac:dyDescent="0.45">
      <c r="A322" t="s">
        <v>674</v>
      </c>
      <c r="B322" s="6">
        <f t="shared" si="4"/>
        <v>5</v>
      </c>
      <c r="C322" s="4" cm="1">
        <f t="array" ref="C322">SUM((MMULT(ISNUMBER(SEARCH(TRANSPOSE(category!$A$2:$A$11), A322))*1, ROW(category!$A$2:$A$11)^0)&gt;0)*1)</f>
        <v>0</v>
      </c>
      <c r="D322" s="4" cm="1">
        <f t="array" ref="D322">SUM((MMULT(ISNUMBER(SEARCH(TRANSPOSE(category!$B$2:$B$25), A322))*1, ROW(category!$B$2:$B$25)^0)&gt;0)*1)</f>
        <v>1</v>
      </c>
      <c r="E322" s="4" cm="1">
        <f t="array" ref="E322">SUM((MMULT(ISNUMBER(SEARCH(TRANSPOSE(category!$C$2:$C$4), A322))*1, ROW(category!$C$2:$C$4)^0)&gt;0)*1)</f>
        <v>0</v>
      </c>
      <c r="F322" s="4" cm="1">
        <f t="array" ref="F322">SUM((MMULT(ISNUMBER(SEARCH(TRANSPOSE(category!$D$2:$D$10), A322))*1, ROW(category!$D$2:$D$10)^0)&gt;0)*1)</f>
        <v>0</v>
      </c>
      <c r="G322" s="4" cm="1">
        <f t="array" ref="G322">SUM((MMULT(ISNUMBER(SEARCH(TRANSPOSE(category!$E$2:$E$8), A322))*1, ROW(category!$E$2:$E$8)^0)&gt;0)*1)</f>
        <v>0</v>
      </c>
      <c r="H322" s="4" cm="1">
        <f t="array" ref="H322">SUM((MMULT(ISNUMBER(SEARCH(TRANSPOSE(category!$F$2:$F$9), A322))*1, ROW(category!$F$2:$F$9)^0)&gt;0)*1)</f>
        <v>0</v>
      </c>
    </row>
    <row r="323" spans="1:8" x14ac:dyDescent="0.45">
      <c r="A323" t="s">
        <v>676</v>
      </c>
      <c r="B323" s="6">
        <f t="shared" ref="B323:B386" si="5">LEN(A323)-LEN(SUBSTITUTE(A323," ",""))+1</f>
        <v>5</v>
      </c>
      <c r="C323" s="4" cm="1">
        <f t="array" ref="C323">SUM((MMULT(ISNUMBER(SEARCH(TRANSPOSE(category!$A$2:$A$11), A323))*1, ROW(category!$A$2:$A$11)^0)&gt;0)*1)</f>
        <v>0</v>
      </c>
      <c r="D323" s="4" cm="1">
        <f t="array" ref="D323">SUM((MMULT(ISNUMBER(SEARCH(TRANSPOSE(category!$B$2:$B$25), A323))*1, ROW(category!$B$2:$B$25)^0)&gt;0)*1)</f>
        <v>1</v>
      </c>
      <c r="E323" s="4" cm="1">
        <f t="array" ref="E323">SUM((MMULT(ISNUMBER(SEARCH(TRANSPOSE(category!$C$2:$C$4), A323))*1, ROW(category!$C$2:$C$4)^0)&gt;0)*1)</f>
        <v>0</v>
      </c>
      <c r="F323" s="4" cm="1">
        <f t="array" ref="F323">SUM((MMULT(ISNUMBER(SEARCH(TRANSPOSE(category!$D$2:$D$10), A323))*1, ROW(category!$D$2:$D$10)^0)&gt;0)*1)</f>
        <v>0</v>
      </c>
      <c r="G323" s="4" cm="1">
        <f t="array" ref="G323">SUM((MMULT(ISNUMBER(SEARCH(TRANSPOSE(category!$E$2:$E$8), A323))*1, ROW(category!$E$2:$E$8)^0)&gt;0)*1)</f>
        <v>0</v>
      </c>
      <c r="H323" s="4" cm="1">
        <f t="array" ref="H323">SUM((MMULT(ISNUMBER(SEARCH(TRANSPOSE(category!$F$2:$F$9), A323))*1, ROW(category!$F$2:$F$9)^0)&gt;0)*1)</f>
        <v>0</v>
      </c>
    </row>
    <row r="324" spans="1:8" x14ac:dyDescent="0.45">
      <c r="A324" t="s">
        <v>678</v>
      </c>
      <c r="B324" s="6">
        <f t="shared" si="5"/>
        <v>6</v>
      </c>
      <c r="C324" s="4" cm="1">
        <f t="array" ref="C324">SUM((MMULT(ISNUMBER(SEARCH(TRANSPOSE(category!$A$2:$A$11), A324))*1, ROW(category!$A$2:$A$11)^0)&gt;0)*1)</f>
        <v>0</v>
      </c>
      <c r="D324" s="4" cm="1">
        <f t="array" ref="D324">SUM((MMULT(ISNUMBER(SEARCH(TRANSPOSE(category!$B$2:$B$25), A324))*1, ROW(category!$B$2:$B$25)^0)&gt;0)*1)</f>
        <v>1</v>
      </c>
      <c r="E324" s="4" cm="1">
        <f t="array" ref="E324">SUM((MMULT(ISNUMBER(SEARCH(TRANSPOSE(category!$C$2:$C$4), A324))*1, ROW(category!$C$2:$C$4)^0)&gt;0)*1)</f>
        <v>0</v>
      </c>
      <c r="F324" s="4" cm="1">
        <f t="array" ref="F324">SUM((MMULT(ISNUMBER(SEARCH(TRANSPOSE(category!$D$2:$D$10), A324))*1, ROW(category!$D$2:$D$10)^0)&gt;0)*1)</f>
        <v>0</v>
      </c>
      <c r="G324" s="4" cm="1">
        <f t="array" ref="G324">SUM((MMULT(ISNUMBER(SEARCH(TRANSPOSE(category!$E$2:$E$8), A324))*1, ROW(category!$E$2:$E$8)^0)&gt;0)*1)</f>
        <v>0</v>
      </c>
      <c r="H324" s="4" cm="1">
        <f t="array" ref="H324">SUM((MMULT(ISNUMBER(SEARCH(TRANSPOSE(category!$F$2:$F$9), A324))*1, ROW(category!$F$2:$F$9)^0)&gt;0)*1)</f>
        <v>0</v>
      </c>
    </row>
    <row r="325" spans="1:8" x14ac:dyDescent="0.45">
      <c r="A325" t="s">
        <v>680</v>
      </c>
      <c r="B325" s="6">
        <f t="shared" si="5"/>
        <v>14</v>
      </c>
      <c r="C325" s="4" cm="1">
        <f t="array" ref="C325">SUM((MMULT(ISNUMBER(SEARCH(TRANSPOSE(category!$A$2:$A$11), A325))*1, ROW(category!$A$2:$A$11)^0)&gt;0)*1)</f>
        <v>1</v>
      </c>
      <c r="D325" s="4" cm="1">
        <f t="array" ref="D325">SUM((MMULT(ISNUMBER(SEARCH(TRANSPOSE(category!$B$2:$B$25), A325))*1, ROW(category!$B$2:$B$25)^0)&gt;0)*1)</f>
        <v>1</v>
      </c>
      <c r="E325" s="4" cm="1">
        <f t="array" ref="E325">SUM((MMULT(ISNUMBER(SEARCH(TRANSPOSE(category!$C$2:$C$4), A325))*1, ROW(category!$C$2:$C$4)^0)&gt;0)*1)</f>
        <v>0</v>
      </c>
      <c r="F325" s="4" cm="1">
        <f t="array" ref="F325">SUM((MMULT(ISNUMBER(SEARCH(TRANSPOSE(category!$D$2:$D$10), A325))*1, ROW(category!$D$2:$D$10)^0)&gt;0)*1)</f>
        <v>1</v>
      </c>
      <c r="G325" s="4" cm="1">
        <f t="array" ref="G325">SUM((MMULT(ISNUMBER(SEARCH(TRANSPOSE(category!$E$2:$E$8), A325))*1, ROW(category!$E$2:$E$8)^0)&gt;0)*1)</f>
        <v>0</v>
      </c>
      <c r="H325" s="4" cm="1">
        <f t="array" ref="H325">SUM((MMULT(ISNUMBER(SEARCH(TRANSPOSE(category!$F$2:$F$9), A325))*1, ROW(category!$F$2:$F$9)^0)&gt;0)*1)</f>
        <v>0</v>
      </c>
    </row>
    <row r="326" spans="1:8" x14ac:dyDescent="0.45">
      <c r="A326" t="s">
        <v>682</v>
      </c>
      <c r="B326" s="6">
        <f t="shared" si="5"/>
        <v>20</v>
      </c>
      <c r="C326" s="4" cm="1">
        <f t="array" ref="C326">SUM((MMULT(ISNUMBER(SEARCH(TRANSPOSE(category!$A$2:$A$11), A326))*1, ROW(category!$A$2:$A$11)^0)&gt;0)*1)</f>
        <v>0</v>
      </c>
      <c r="D326" s="4" cm="1">
        <f t="array" ref="D326">SUM((MMULT(ISNUMBER(SEARCH(TRANSPOSE(category!$B$2:$B$25), A326))*1, ROW(category!$B$2:$B$25)^0)&gt;0)*1)</f>
        <v>1</v>
      </c>
      <c r="E326" s="4" cm="1">
        <f t="array" ref="E326">SUM((MMULT(ISNUMBER(SEARCH(TRANSPOSE(category!$C$2:$C$4), A326))*1, ROW(category!$C$2:$C$4)^0)&gt;0)*1)</f>
        <v>0</v>
      </c>
      <c r="F326" s="4" cm="1">
        <f t="array" ref="F326">SUM((MMULT(ISNUMBER(SEARCH(TRANSPOSE(category!$D$2:$D$10), A326))*1, ROW(category!$D$2:$D$10)^0)&gt;0)*1)</f>
        <v>1</v>
      </c>
      <c r="G326" s="4" cm="1">
        <f t="array" ref="G326">SUM((MMULT(ISNUMBER(SEARCH(TRANSPOSE(category!$E$2:$E$8), A326))*1, ROW(category!$E$2:$E$8)^0)&gt;0)*1)</f>
        <v>0</v>
      </c>
      <c r="H326" s="4" cm="1">
        <f t="array" ref="H326">SUM((MMULT(ISNUMBER(SEARCH(TRANSPOSE(category!$F$2:$F$9), A326))*1, ROW(category!$F$2:$F$9)^0)&gt;0)*1)</f>
        <v>0</v>
      </c>
    </row>
    <row r="327" spans="1:8" x14ac:dyDescent="0.45">
      <c r="A327" t="s">
        <v>684</v>
      </c>
      <c r="B327" s="6">
        <f t="shared" si="5"/>
        <v>11</v>
      </c>
      <c r="C327" s="4" cm="1">
        <f t="array" ref="C327">SUM((MMULT(ISNUMBER(SEARCH(TRANSPOSE(category!$A$2:$A$11), A327))*1, ROW(category!$A$2:$A$11)^0)&gt;0)*1)</f>
        <v>0</v>
      </c>
      <c r="D327" s="4" cm="1">
        <f t="array" ref="D327">SUM((MMULT(ISNUMBER(SEARCH(TRANSPOSE(category!$B$2:$B$25), A327))*1, ROW(category!$B$2:$B$25)^0)&gt;0)*1)</f>
        <v>1</v>
      </c>
      <c r="E327" s="4" cm="1">
        <f t="array" ref="E327">SUM((MMULT(ISNUMBER(SEARCH(TRANSPOSE(category!$C$2:$C$4), A327))*1, ROW(category!$C$2:$C$4)^0)&gt;0)*1)</f>
        <v>0</v>
      </c>
      <c r="F327" s="4" cm="1">
        <f t="array" ref="F327">SUM((MMULT(ISNUMBER(SEARCH(TRANSPOSE(category!$D$2:$D$10), A327))*1, ROW(category!$D$2:$D$10)^0)&gt;0)*1)</f>
        <v>0</v>
      </c>
      <c r="G327" s="4" cm="1">
        <f t="array" ref="G327">SUM((MMULT(ISNUMBER(SEARCH(TRANSPOSE(category!$E$2:$E$8), A327))*1, ROW(category!$E$2:$E$8)^0)&gt;0)*1)</f>
        <v>0</v>
      </c>
      <c r="H327" s="4" cm="1">
        <f t="array" ref="H327">SUM((MMULT(ISNUMBER(SEARCH(TRANSPOSE(category!$F$2:$F$9), A327))*1, ROW(category!$F$2:$F$9)^0)&gt;0)*1)</f>
        <v>0</v>
      </c>
    </row>
    <row r="328" spans="1:8" x14ac:dyDescent="0.45">
      <c r="A328" t="s">
        <v>686</v>
      </c>
      <c r="B328" s="6">
        <f t="shared" si="5"/>
        <v>12</v>
      </c>
      <c r="C328" s="4" cm="1">
        <f t="array" ref="C328">SUM((MMULT(ISNUMBER(SEARCH(TRANSPOSE(category!$A$2:$A$11), A328))*1, ROW(category!$A$2:$A$11)^0)&gt;0)*1)</f>
        <v>0</v>
      </c>
      <c r="D328" s="4" cm="1">
        <f t="array" ref="D328">SUM((MMULT(ISNUMBER(SEARCH(TRANSPOSE(category!$B$2:$B$25), A328))*1, ROW(category!$B$2:$B$25)^0)&gt;0)*1)</f>
        <v>1</v>
      </c>
      <c r="E328" s="4" cm="1">
        <f t="array" ref="E328">SUM((MMULT(ISNUMBER(SEARCH(TRANSPOSE(category!$C$2:$C$4), A328))*1, ROW(category!$C$2:$C$4)^0)&gt;0)*1)</f>
        <v>0</v>
      </c>
      <c r="F328" s="4" cm="1">
        <f t="array" ref="F328">SUM((MMULT(ISNUMBER(SEARCH(TRANSPOSE(category!$D$2:$D$10), A328))*1, ROW(category!$D$2:$D$10)^0)&gt;0)*1)</f>
        <v>0</v>
      </c>
      <c r="G328" s="4" cm="1">
        <f t="array" ref="G328">SUM((MMULT(ISNUMBER(SEARCH(TRANSPOSE(category!$E$2:$E$8), A328))*1, ROW(category!$E$2:$E$8)^0)&gt;0)*1)</f>
        <v>1</v>
      </c>
      <c r="H328" s="4" cm="1">
        <f t="array" ref="H328">SUM((MMULT(ISNUMBER(SEARCH(TRANSPOSE(category!$F$2:$F$9), A328))*1, ROW(category!$F$2:$F$9)^0)&gt;0)*1)</f>
        <v>0</v>
      </c>
    </row>
    <row r="329" spans="1:8" x14ac:dyDescent="0.45">
      <c r="A329" t="s">
        <v>688</v>
      </c>
      <c r="B329" s="6">
        <f t="shared" si="5"/>
        <v>17</v>
      </c>
      <c r="C329" s="4" cm="1">
        <f t="array" ref="C329">SUM((MMULT(ISNUMBER(SEARCH(TRANSPOSE(category!$A$2:$A$11), A329))*1, ROW(category!$A$2:$A$11)^0)&gt;0)*1)</f>
        <v>0</v>
      </c>
      <c r="D329" s="4" cm="1">
        <f t="array" ref="D329">SUM((MMULT(ISNUMBER(SEARCH(TRANSPOSE(category!$B$2:$B$25), A329))*1, ROW(category!$B$2:$B$25)^0)&gt;0)*1)</f>
        <v>0</v>
      </c>
      <c r="E329" s="4" cm="1">
        <f t="array" ref="E329">SUM((MMULT(ISNUMBER(SEARCH(TRANSPOSE(category!$C$2:$C$4), A329))*1, ROW(category!$C$2:$C$4)^0)&gt;0)*1)</f>
        <v>0</v>
      </c>
      <c r="F329" s="4" cm="1">
        <f t="array" ref="F329">SUM((MMULT(ISNUMBER(SEARCH(TRANSPOSE(category!$D$2:$D$10), A329))*1, ROW(category!$D$2:$D$10)^0)&gt;0)*1)</f>
        <v>1</v>
      </c>
      <c r="G329" s="4" cm="1">
        <f t="array" ref="G329">SUM((MMULT(ISNUMBER(SEARCH(TRANSPOSE(category!$E$2:$E$8), A329))*1, ROW(category!$E$2:$E$8)^0)&gt;0)*1)</f>
        <v>0</v>
      </c>
      <c r="H329" s="4" cm="1">
        <f t="array" ref="H329">SUM((MMULT(ISNUMBER(SEARCH(TRANSPOSE(category!$F$2:$F$9), A329))*1, ROW(category!$F$2:$F$9)^0)&gt;0)*1)</f>
        <v>0</v>
      </c>
    </row>
    <row r="330" spans="1:8" x14ac:dyDescent="0.45">
      <c r="A330" t="s">
        <v>644</v>
      </c>
      <c r="B330" s="6">
        <f t="shared" si="5"/>
        <v>6</v>
      </c>
      <c r="C330" s="4" cm="1">
        <f t="array" ref="C330">SUM((MMULT(ISNUMBER(SEARCH(TRANSPOSE(category!$A$2:$A$11), A330))*1, ROW(category!$A$2:$A$11)^0)&gt;0)*1)</f>
        <v>0</v>
      </c>
      <c r="D330" s="4" cm="1">
        <f t="array" ref="D330">SUM((MMULT(ISNUMBER(SEARCH(TRANSPOSE(category!$B$2:$B$25), A330))*1, ROW(category!$B$2:$B$25)^0)&gt;0)*1)</f>
        <v>1</v>
      </c>
      <c r="E330" s="4" cm="1">
        <f t="array" ref="E330">SUM((MMULT(ISNUMBER(SEARCH(TRANSPOSE(category!$C$2:$C$4), A330))*1, ROW(category!$C$2:$C$4)^0)&gt;0)*1)</f>
        <v>0</v>
      </c>
      <c r="F330" s="4" cm="1">
        <f t="array" ref="F330">SUM((MMULT(ISNUMBER(SEARCH(TRANSPOSE(category!$D$2:$D$10), A330))*1, ROW(category!$D$2:$D$10)^0)&gt;0)*1)</f>
        <v>0</v>
      </c>
      <c r="G330" s="4" cm="1">
        <f t="array" ref="G330">SUM((MMULT(ISNUMBER(SEARCH(TRANSPOSE(category!$E$2:$E$8), A330))*1, ROW(category!$E$2:$E$8)^0)&gt;0)*1)</f>
        <v>0</v>
      </c>
      <c r="H330" s="4" cm="1">
        <f t="array" ref="H330">SUM((MMULT(ISNUMBER(SEARCH(TRANSPOSE(category!$F$2:$F$9), A330))*1, ROW(category!$F$2:$F$9)^0)&gt;0)*1)</f>
        <v>0</v>
      </c>
    </row>
    <row r="331" spans="1:8" x14ac:dyDescent="0.45">
      <c r="A331" t="s">
        <v>691</v>
      </c>
      <c r="B331" s="6">
        <f t="shared" si="5"/>
        <v>9</v>
      </c>
      <c r="C331" s="4" cm="1">
        <f t="array" ref="C331">SUM((MMULT(ISNUMBER(SEARCH(TRANSPOSE(category!$A$2:$A$11), A331))*1, ROW(category!$A$2:$A$11)^0)&gt;0)*1)</f>
        <v>0</v>
      </c>
      <c r="D331" s="4" cm="1">
        <f t="array" ref="D331">SUM((MMULT(ISNUMBER(SEARCH(TRANSPOSE(category!$B$2:$B$25), A331))*1, ROW(category!$B$2:$B$25)^0)&gt;0)*1)</f>
        <v>0</v>
      </c>
      <c r="E331" s="4" cm="1">
        <f t="array" ref="E331">SUM((MMULT(ISNUMBER(SEARCH(TRANSPOSE(category!$C$2:$C$4), A331))*1, ROW(category!$C$2:$C$4)^0)&gt;0)*1)</f>
        <v>1</v>
      </c>
      <c r="F331" s="4" cm="1">
        <f t="array" ref="F331">SUM((MMULT(ISNUMBER(SEARCH(TRANSPOSE(category!$D$2:$D$10), A331))*1, ROW(category!$D$2:$D$10)^0)&gt;0)*1)</f>
        <v>1</v>
      </c>
      <c r="G331" s="4" cm="1">
        <f t="array" ref="G331">SUM((MMULT(ISNUMBER(SEARCH(TRANSPOSE(category!$E$2:$E$8), A331))*1, ROW(category!$E$2:$E$8)^0)&gt;0)*1)</f>
        <v>0</v>
      </c>
      <c r="H331" s="4" cm="1">
        <f t="array" ref="H331">SUM((MMULT(ISNUMBER(SEARCH(TRANSPOSE(category!$F$2:$F$9), A331))*1, ROW(category!$F$2:$F$9)^0)&gt;0)*1)</f>
        <v>0</v>
      </c>
    </row>
    <row r="332" spans="1:8" x14ac:dyDescent="0.45">
      <c r="A332" t="s">
        <v>570</v>
      </c>
      <c r="B332" s="6">
        <f t="shared" si="5"/>
        <v>2</v>
      </c>
      <c r="C332" s="4" cm="1">
        <f t="array" ref="C332">SUM((MMULT(ISNUMBER(SEARCH(TRANSPOSE(category!$A$2:$A$11), A332))*1, ROW(category!$A$2:$A$11)^0)&gt;0)*1)</f>
        <v>0</v>
      </c>
      <c r="D332" s="4" cm="1">
        <f t="array" ref="D332">SUM((MMULT(ISNUMBER(SEARCH(TRANSPOSE(category!$B$2:$B$25), A332))*1, ROW(category!$B$2:$B$25)^0)&gt;0)*1)</f>
        <v>1</v>
      </c>
      <c r="E332" s="4" cm="1">
        <f t="array" ref="E332">SUM((MMULT(ISNUMBER(SEARCH(TRANSPOSE(category!$C$2:$C$4), A332))*1, ROW(category!$C$2:$C$4)^0)&gt;0)*1)</f>
        <v>0</v>
      </c>
      <c r="F332" s="4" cm="1">
        <f t="array" ref="F332">SUM((MMULT(ISNUMBER(SEARCH(TRANSPOSE(category!$D$2:$D$10), A332))*1, ROW(category!$D$2:$D$10)^0)&gt;0)*1)</f>
        <v>0</v>
      </c>
      <c r="G332" s="4" cm="1">
        <f t="array" ref="G332">SUM((MMULT(ISNUMBER(SEARCH(TRANSPOSE(category!$E$2:$E$8), A332))*1, ROW(category!$E$2:$E$8)^0)&gt;0)*1)</f>
        <v>0</v>
      </c>
      <c r="H332" s="4" cm="1">
        <f t="array" ref="H332">SUM((MMULT(ISNUMBER(SEARCH(TRANSPOSE(category!$F$2:$F$9), A332))*1, ROW(category!$F$2:$F$9)^0)&gt;0)*1)</f>
        <v>0</v>
      </c>
    </row>
    <row r="333" spans="1:8" x14ac:dyDescent="0.45">
      <c r="A333" t="s">
        <v>694</v>
      </c>
      <c r="B333" s="6">
        <f t="shared" si="5"/>
        <v>28</v>
      </c>
      <c r="C333" s="4" cm="1">
        <f t="array" ref="C333">SUM((MMULT(ISNUMBER(SEARCH(TRANSPOSE(category!$A$2:$A$11), A333))*1, ROW(category!$A$2:$A$11)^0)&gt;0)*1)</f>
        <v>0</v>
      </c>
      <c r="D333" s="4" cm="1">
        <f t="array" ref="D333">SUM((MMULT(ISNUMBER(SEARCH(TRANSPOSE(category!$B$2:$B$25), A333))*1, ROW(category!$B$2:$B$25)^0)&gt;0)*1)</f>
        <v>1</v>
      </c>
      <c r="E333" s="4" cm="1">
        <f t="array" ref="E333">SUM((MMULT(ISNUMBER(SEARCH(TRANSPOSE(category!$C$2:$C$4), A333))*1, ROW(category!$C$2:$C$4)^0)&gt;0)*1)</f>
        <v>0</v>
      </c>
      <c r="F333" s="4" cm="1">
        <f t="array" ref="F333">SUM((MMULT(ISNUMBER(SEARCH(TRANSPOSE(category!$D$2:$D$10), A333))*1, ROW(category!$D$2:$D$10)^0)&gt;0)*1)</f>
        <v>1</v>
      </c>
      <c r="G333" s="4" cm="1">
        <f t="array" ref="G333">SUM((MMULT(ISNUMBER(SEARCH(TRANSPOSE(category!$E$2:$E$8), A333))*1, ROW(category!$E$2:$E$8)^0)&gt;0)*1)</f>
        <v>0</v>
      </c>
      <c r="H333" s="4" cm="1">
        <f t="array" ref="H333">SUM((MMULT(ISNUMBER(SEARCH(TRANSPOSE(category!$F$2:$F$9), A333))*1, ROW(category!$F$2:$F$9)^0)&gt;0)*1)</f>
        <v>0</v>
      </c>
    </row>
    <row r="334" spans="1:8" x14ac:dyDescent="0.45">
      <c r="A334" t="s">
        <v>696</v>
      </c>
      <c r="B334" s="6">
        <f t="shared" si="5"/>
        <v>15</v>
      </c>
      <c r="C334" s="4" cm="1">
        <f t="array" ref="C334">SUM((MMULT(ISNUMBER(SEARCH(TRANSPOSE(category!$A$2:$A$11), A334))*1, ROW(category!$A$2:$A$11)^0)&gt;0)*1)</f>
        <v>1</v>
      </c>
      <c r="D334" s="4" cm="1">
        <f t="array" ref="D334">SUM((MMULT(ISNUMBER(SEARCH(TRANSPOSE(category!$B$2:$B$25), A334))*1, ROW(category!$B$2:$B$25)^0)&gt;0)*1)</f>
        <v>1</v>
      </c>
      <c r="E334" s="4" cm="1">
        <f t="array" ref="E334">SUM((MMULT(ISNUMBER(SEARCH(TRANSPOSE(category!$C$2:$C$4), A334))*1, ROW(category!$C$2:$C$4)^0)&gt;0)*1)</f>
        <v>1</v>
      </c>
      <c r="F334" s="4" cm="1">
        <f t="array" ref="F334">SUM((MMULT(ISNUMBER(SEARCH(TRANSPOSE(category!$D$2:$D$10), A334))*1, ROW(category!$D$2:$D$10)^0)&gt;0)*1)</f>
        <v>0</v>
      </c>
      <c r="G334" s="4" cm="1">
        <f t="array" ref="G334">SUM((MMULT(ISNUMBER(SEARCH(TRANSPOSE(category!$E$2:$E$8), A334))*1, ROW(category!$E$2:$E$8)^0)&gt;0)*1)</f>
        <v>0</v>
      </c>
      <c r="H334" s="4" cm="1">
        <f t="array" ref="H334">SUM((MMULT(ISNUMBER(SEARCH(TRANSPOSE(category!$F$2:$F$9), A334))*1, ROW(category!$F$2:$F$9)^0)&gt;0)*1)</f>
        <v>0</v>
      </c>
    </row>
    <row r="335" spans="1:8" x14ac:dyDescent="0.45">
      <c r="A335" t="s">
        <v>698</v>
      </c>
      <c r="B335" s="6">
        <f t="shared" si="5"/>
        <v>19</v>
      </c>
      <c r="C335" s="4" cm="1">
        <f t="array" ref="C335">SUM((MMULT(ISNUMBER(SEARCH(TRANSPOSE(category!$A$2:$A$11), A335))*1, ROW(category!$A$2:$A$11)^0)&gt;0)*1)</f>
        <v>0</v>
      </c>
      <c r="D335" s="4" cm="1">
        <f t="array" ref="D335">SUM((MMULT(ISNUMBER(SEARCH(TRANSPOSE(category!$B$2:$B$25), A335))*1, ROW(category!$B$2:$B$25)^0)&gt;0)*1)</f>
        <v>0</v>
      </c>
      <c r="E335" s="4" cm="1">
        <f t="array" ref="E335">SUM((MMULT(ISNUMBER(SEARCH(TRANSPOSE(category!$C$2:$C$4), A335))*1, ROW(category!$C$2:$C$4)^0)&gt;0)*1)</f>
        <v>0</v>
      </c>
      <c r="F335" s="4" cm="1">
        <f t="array" ref="F335">SUM((MMULT(ISNUMBER(SEARCH(TRANSPOSE(category!$D$2:$D$10), A335))*1, ROW(category!$D$2:$D$10)^0)&gt;0)*1)</f>
        <v>0</v>
      </c>
      <c r="G335" s="4" cm="1">
        <f t="array" ref="G335">SUM((MMULT(ISNUMBER(SEARCH(TRANSPOSE(category!$E$2:$E$8), A335))*1, ROW(category!$E$2:$E$8)^0)&gt;0)*1)</f>
        <v>0</v>
      </c>
      <c r="H335" s="4" cm="1">
        <f t="array" ref="H335">SUM((MMULT(ISNUMBER(SEARCH(TRANSPOSE(category!$F$2:$F$9), A335))*1, ROW(category!$F$2:$F$9)^0)&gt;0)*1)</f>
        <v>0</v>
      </c>
    </row>
    <row r="336" spans="1:8" x14ac:dyDescent="0.45">
      <c r="A336" t="s">
        <v>700</v>
      </c>
      <c r="B336" s="6">
        <f t="shared" si="5"/>
        <v>2</v>
      </c>
      <c r="C336" s="4" cm="1">
        <f t="array" ref="C336">SUM((MMULT(ISNUMBER(SEARCH(TRANSPOSE(category!$A$2:$A$11), A336))*1, ROW(category!$A$2:$A$11)^0)&gt;0)*1)</f>
        <v>0</v>
      </c>
      <c r="D336" s="4" cm="1">
        <f t="array" ref="D336">SUM((MMULT(ISNUMBER(SEARCH(TRANSPOSE(category!$B$2:$B$25), A336))*1, ROW(category!$B$2:$B$25)^0)&gt;0)*1)</f>
        <v>1</v>
      </c>
      <c r="E336" s="4" cm="1">
        <f t="array" ref="E336">SUM((MMULT(ISNUMBER(SEARCH(TRANSPOSE(category!$C$2:$C$4), A336))*1, ROW(category!$C$2:$C$4)^0)&gt;0)*1)</f>
        <v>0</v>
      </c>
      <c r="F336" s="4" cm="1">
        <f t="array" ref="F336">SUM((MMULT(ISNUMBER(SEARCH(TRANSPOSE(category!$D$2:$D$10), A336))*1, ROW(category!$D$2:$D$10)^0)&gt;0)*1)</f>
        <v>0</v>
      </c>
      <c r="G336" s="4" cm="1">
        <f t="array" ref="G336">SUM((MMULT(ISNUMBER(SEARCH(TRANSPOSE(category!$E$2:$E$8), A336))*1, ROW(category!$E$2:$E$8)^0)&gt;0)*1)</f>
        <v>0</v>
      </c>
      <c r="H336" s="4" cm="1">
        <f t="array" ref="H336">SUM((MMULT(ISNUMBER(SEARCH(TRANSPOSE(category!$F$2:$F$9), A336))*1, ROW(category!$F$2:$F$9)^0)&gt;0)*1)</f>
        <v>0</v>
      </c>
    </row>
    <row r="337" spans="1:8" x14ac:dyDescent="0.45">
      <c r="A337" t="s">
        <v>702</v>
      </c>
      <c r="B337" s="6">
        <f t="shared" si="5"/>
        <v>7</v>
      </c>
      <c r="C337" s="4" cm="1">
        <f t="array" ref="C337">SUM((MMULT(ISNUMBER(SEARCH(TRANSPOSE(category!$A$2:$A$11), A337))*1, ROW(category!$A$2:$A$11)^0)&gt;0)*1)</f>
        <v>0</v>
      </c>
      <c r="D337" s="4" cm="1">
        <f t="array" ref="D337">SUM((MMULT(ISNUMBER(SEARCH(TRANSPOSE(category!$B$2:$B$25), A337))*1, ROW(category!$B$2:$B$25)^0)&gt;0)*1)</f>
        <v>1</v>
      </c>
      <c r="E337" s="4" cm="1">
        <f t="array" ref="E337">SUM((MMULT(ISNUMBER(SEARCH(TRANSPOSE(category!$C$2:$C$4), A337))*1, ROW(category!$C$2:$C$4)^0)&gt;0)*1)</f>
        <v>0</v>
      </c>
      <c r="F337" s="4" cm="1">
        <f t="array" ref="F337">SUM((MMULT(ISNUMBER(SEARCH(TRANSPOSE(category!$D$2:$D$10), A337))*1, ROW(category!$D$2:$D$10)^0)&gt;0)*1)</f>
        <v>1</v>
      </c>
      <c r="G337" s="4" cm="1">
        <f t="array" ref="G337">SUM((MMULT(ISNUMBER(SEARCH(TRANSPOSE(category!$E$2:$E$8), A337))*1, ROW(category!$E$2:$E$8)^0)&gt;0)*1)</f>
        <v>0</v>
      </c>
      <c r="H337" s="4" cm="1">
        <f t="array" ref="H337">SUM((MMULT(ISNUMBER(SEARCH(TRANSPOSE(category!$F$2:$F$9), A337))*1, ROW(category!$F$2:$F$9)^0)&gt;0)*1)</f>
        <v>0</v>
      </c>
    </row>
    <row r="338" spans="1:8" x14ac:dyDescent="0.45">
      <c r="A338" t="s">
        <v>704</v>
      </c>
      <c r="B338" s="6">
        <f t="shared" si="5"/>
        <v>26</v>
      </c>
      <c r="C338" s="4" cm="1">
        <f t="array" ref="C338">SUM((MMULT(ISNUMBER(SEARCH(TRANSPOSE(category!$A$2:$A$11), A338))*1, ROW(category!$A$2:$A$11)^0)&gt;0)*1)</f>
        <v>0</v>
      </c>
      <c r="D338" s="4" cm="1">
        <f t="array" ref="D338">SUM((MMULT(ISNUMBER(SEARCH(TRANSPOSE(category!$B$2:$B$25), A338))*1, ROW(category!$B$2:$B$25)^0)&gt;0)*1)</f>
        <v>1</v>
      </c>
      <c r="E338" s="4" cm="1">
        <f t="array" ref="E338">SUM((MMULT(ISNUMBER(SEARCH(TRANSPOSE(category!$C$2:$C$4), A338))*1, ROW(category!$C$2:$C$4)^0)&gt;0)*1)</f>
        <v>0</v>
      </c>
      <c r="F338" s="4" cm="1">
        <f t="array" ref="F338">SUM((MMULT(ISNUMBER(SEARCH(TRANSPOSE(category!$D$2:$D$10), A338))*1, ROW(category!$D$2:$D$10)^0)&gt;0)*1)</f>
        <v>1</v>
      </c>
      <c r="G338" s="4" cm="1">
        <f t="array" ref="G338">SUM((MMULT(ISNUMBER(SEARCH(TRANSPOSE(category!$E$2:$E$8), A338))*1, ROW(category!$E$2:$E$8)^0)&gt;0)*1)</f>
        <v>0</v>
      </c>
      <c r="H338" s="4" cm="1">
        <f t="array" ref="H338">SUM((MMULT(ISNUMBER(SEARCH(TRANSPOSE(category!$F$2:$F$9), A338))*1, ROW(category!$F$2:$F$9)^0)&gt;0)*1)</f>
        <v>0</v>
      </c>
    </row>
    <row r="339" spans="1:8" x14ac:dyDescent="0.45">
      <c r="A339" t="s">
        <v>706</v>
      </c>
      <c r="B339" s="6">
        <f t="shared" si="5"/>
        <v>18</v>
      </c>
      <c r="C339" s="4" cm="1">
        <f t="array" ref="C339">SUM((MMULT(ISNUMBER(SEARCH(TRANSPOSE(category!$A$2:$A$11), A339))*1, ROW(category!$A$2:$A$11)^0)&gt;0)*1)</f>
        <v>0</v>
      </c>
      <c r="D339" s="4" cm="1">
        <f t="array" ref="D339">SUM((MMULT(ISNUMBER(SEARCH(TRANSPOSE(category!$B$2:$B$25), A339))*1, ROW(category!$B$2:$B$25)^0)&gt;0)*1)</f>
        <v>1</v>
      </c>
      <c r="E339" s="4" cm="1">
        <f t="array" ref="E339">SUM((MMULT(ISNUMBER(SEARCH(TRANSPOSE(category!$C$2:$C$4), A339))*1, ROW(category!$C$2:$C$4)^0)&gt;0)*1)</f>
        <v>0</v>
      </c>
      <c r="F339" s="4" cm="1">
        <f t="array" ref="F339">SUM((MMULT(ISNUMBER(SEARCH(TRANSPOSE(category!$D$2:$D$10), A339))*1, ROW(category!$D$2:$D$10)^0)&gt;0)*1)</f>
        <v>1</v>
      </c>
      <c r="G339" s="4" cm="1">
        <f t="array" ref="G339">SUM((MMULT(ISNUMBER(SEARCH(TRANSPOSE(category!$E$2:$E$8), A339))*1, ROW(category!$E$2:$E$8)^0)&gt;0)*1)</f>
        <v>0</v>
      </c>
      <c r="H339" s="4" cm="1">
        <f t="array" ref="H339">SUM((MMULT(ISNUMBER(SEARCH(TRANSPOSE(category!$F$2:$F$9), A339))*1, ROW(category!$F$2:$F$9)^0)&gt;0)*1)</f>
        <v>1</v>
      </c>
    </row>
    <row r="340" spans="1:8" x14ac:dyDescent="0.45">
      <c r="A340" t="s">
        <v>222</v>
      </c>
      <c r="B340" s="6">
        <f t="shared" si="5"/>
        <v>2</v>
      </c>
      <c r="C340" s="4" cm="1">
        <f t="array" ref="C340">SUM((MMULT(ISNUMBER(SEARCH(TRANSPOSE(category!$A$2:$A$11), A340))*1, ROW(category!$A$2:$A$11)^0)&gt;0)*1)</f>
        <v>0</v>
      </c>
      <c r="D340" s="4" cm="1">
        <f t="array" ref="D340">SUM((MMULT(ISNUMBER(SEARCH(TRANSPOSE(category!$B$2:$B$25), A340))*1, ROW(category!$B$2:$B$25)^0)&gt;0)*1)</f>
        <v>1</v>
      </c>
      <c r="E340" s="4" cm="1">
        <f t="array" ref="E340">SUM((MMULT(ISNUMBER(SEARCH(TRANSPOSE(category!$C$2:$C$4), A340))*1, ROW(category!$C$2:$C$4)^0)&gt;0)*1)</f>
        <v>0</v>
      </c>
      <c r="F340" s="4" cm="1">
        <f t="array" ref="F340">SUM((MMULT(ISNUMBER(SEARCH(TRANSPOSE(category!$D$2:$D$10), A340))*1, ROW(category!$D$2:$D$10)^0)&gt;0)*1)</f>
        <v>0</v>
      </c>
      <c r="G340" s="4" cm="1">
        <f t="array" ref="G340">SUM((MMULT(ISNUMBER(SEARCH(TRANSPOSE(category!$E$2:$E$8), A340))*1, ROW(category!$E$2:$E$8)^0)&gt;0)*1)</f>
        <v>0</v>
      </c>
      <c r="H340" s="4" cm="1">
        <f t="array" ref="H340">SUM((MMULT(ISNUMBER(SEARCH(TRANSPOSE(category!$F$2:$F$9), A340))*1, ROW(category!$F$2:$F$9)^0)&gt;0)*1)</f>
        <v>0</v>
      </c>
    </row>
    <row r="341" spans="1:8" x14ac:dyDescent="0.45">
      <c r="A341" t="s">
        <v>709</v>
      </c>
      <c r="B341" s="6">
        <f t="shared" si="5"/>
        <v>11</v>
      </c>
      <c r="C341" s="4" cm="1">
        <f t="array" ref="C341">SUM((MMULT(ISNUMBER(SEARCH(TRANSPOSE(category!$A$2:$A$11), A341))*1, ROW(category!$A$2:$A$11)^0)&gt;0)*1)</f>
        <v>0</v>
      </c>
      <c r="D341" s="4" cm="1">
        <f t="array" ref="D341">SUM((MMULT(ISNUMBER(SEARCH(TRANSPOSE(category!$B$2:$B$25), A341))*1, ROW(category!$B$2:$B$25)^0)&gt;0)*1)</f>
        <v>1</v>
      </c>
      <c r="E341" s="4" cm="1">
        <f t="array" ref="E341">SUM((MMULT(ISNUMBER(SEARCH(TRANSPOSE(category!$C$2:$C$4), A341))*1, ROW(category!$C$2:$C$4)^0)&gt;0)*1)</f>
        <v>0</v>
      </c>
      <c r="F341" s="4" cm="1">
        <f t="array" ref="F341">SUM((MMULT(ISNUMBER(SEARCH(TRANSPOSE(category!$D$2:$D$10), A341))*1, ROW(category!$D$2:$D$10)^0)&gt;0)*1)</f>
        <v>0</v>
      </c>
      <c r="G341" s="4" cm="1">
        <f t="array" ref="G341">SUM((MMULT(ISNUMBER(SEARCH(TRANSPOSE(category!$E$2:$E$8), A341))*1, ROW(category!$E$2:$E$8)^0)&gt;0)*1)</f>
        <v>0</v>
      </c>
      <c r="H341" s="4" cm="1">
        <f t="array" ref="H341">SUM((MMULT(ISNUMBER(SEARCH(TRANSPOSE(category!$F$2:$F$9), A341))*1, ROW(category!$F$2:$F$9)^0)&gt;0)*1)</f>
        <v>0</v>
      </c>
    </row>
    <row r="342" spans="1:8" x14ac:dyDescent="0.45">
      <c r="A342" t="s">
        <v>711</v>
      </c>
      <c r="B342" s="6">
        <f t="shared" si="5"/>
        <v>17</v>
      </c>
      <c r="C342" s="4" cm="1">
        <f t="array" ref="C342">SUM((MMULT(ISNUMBER(SEARCH(TRANSPOSE(category!$A$2:$A$11), A342))*1, ROW(category!$A$2:$A$11)^0)&gt;0)*1)</f>
        <v>1</v>
      </c>
      <c r="D342" s="4" cm="1">
        <f t="array" ref="D342">SUM((MMULT(ISNUMBER(SEARCH(TRANSPOSE(category!$B$2:$B$25), A342))*1, ROW(category!$B$2:$B$25)^0)&gt;0)*1)</f>
        <v>0</v>
      </c>
      <c r="E342" s="4" cm="1">
        <f t="array" ref="E342">SUM((MMULT(ISNUMBER(SEARCH(TRANSPOSE(category!$C$2:$C$4), A342))*1, ROW(category!$C$2:$C$4)^0)&gt;0)*1)</f>
        <v>0</v>
      </c>
      <c r="F342" s="4" cm="1">
        <f t="array" ref="F342">SUM((MMULT(ISNUMBER(SEARCH(TRANSPOSE(category!$D$2:$D$10), A342))*1, ROW(category!$D$2:$D$10)^0)&gt;0)*1)</f>
        <v>0</v>
      </c>
      <c r="G342" s="4" cm="1">
        <f t="array" ref="G342">SUM((MMULT(ISNUMBER(SEARCH(TRANSPOSE(category!$E$2:$E$8), A342))*1, ROW(category!$E$2:$E$8)^0)&gt;0)*1)</f>
        <v>0</v>
      </c>
      <c r="H342" s="4" cm="1">
        <f t="array" ref="H342">SUM((MMULT(ISNUMBER(SEARCH(TRANSPOSE(category!$F$2:$F$9), A342))*1, ROW(category!$F$2:$F$9)^0)&gt;0)*1)</f>
        <v>0</v>
      </c>
    </row>
    <row r="343" spans="1:8" x14ac:dyDescent="0.45">
      <c r="A343" t="s">
        <v>713</v>
      </c>
      <c r="B343" s="6">
        <f t="shared" si="5"/>
        <v>35</v>
      </c>
      <c r="C343" s="4" cm="1">
        <f t="array" ref="C343">SUM((MMULT(ISNUMBER(SEARCH(TRANSPOSE(category!$A$2:$A$11), A343))*1, ROW(category!$A$2:$A$11)^0)&gt;0)*1)</f>
        <v>0</v>
      </c>
      <c r="D343" s="4" cm="1">
        <f t="array" ref="D343">SUM((MMULT(ISNUMBER(SEARCH(TRANSPOSE(category!$B$2:$B$25), A343))*1, ROW(category!$B$2:$B$25)^0)&gt;0)*1)</f>
        <v>1</v>
      </c>
      <c r="E343" s="4" cm="1">
        <f t="array" ref="E343">SUM((MMULT(ISNUMBER(SEARCH(TRANSPOSE(category!$C$2:$C$4), A343))*1, ROW(category!$C$2:$C$4)^0)&gt;0)*1)</f>
        <v>0</v>
      </c>
      <c r="F343" s="4" cm="1">
        <f t="array" ref="F343">SUM((MMULT(ISNUMBER(SEARCH(TRANSPOSE(category!$D$2:$D$10), A343))*1, ROW(category!$D$2:$D$10)^0)&gt;0)*1)</f>
        <v>0</v>
      </c>
      <c r="G343" s="4" cm="1">
        <f t="array" ref="G343">SUM((MMULT(ISNUMBER(SEARCH(TRANSPOSE(category!$E$2:$E$8), A343))*1, ROW(category!$E$2:$E$8)^0)&gt;0)*1)</f>
        <v>0</v>
      </c>
      <c r="H343" s="4" cm="1">
        <f t="array" ref="H343">SUM((MMULT(ISNUMBER(SEARCH(TRANSPOSE(category!$F$2:$F$9), A343))*1, ROW(category!$F$2:$F$9)^0)&gt;0)*1)</f>
        <v>0</v>
      </c>
    </row>
    <row r="344" spans="1:8" x14ac:dyDescent="0.45">
      <c r="A344" t="s">
        <v>715</v>
      </c>
      <c r="B344" s="6">
        <f t="shared" si="5"/>
        <v>6</v>
      </c>
      <c r="C344" s="4" cm="1">
        <f t="array" ref="C344">SUM((MMULT(ISNUMBER(SEARCH(TRANSPOSE(category!$A$2:$A$11), A344))*1, ROW(category!$A$2:$A$11)^0)&gt;0)*1)</f>
        <v>0</v>
      </c>
      <c r="D344" s="4" cm="1">
        <f t="array" ref="D344">SUM((MMULT(ISNUMBER(SEARCH(TRANSPOSE(category!$B$2:$B$25), A344))*1, ROW(category!$B$2:$B$25)^0)&gt;0)*1)</f>
        <v>1</v>
      </c>
      <c r="E344" s="4" cm="1">
        <f t="array" ref="E344">SUM((MMULT(ISNUMBER(SEARCH(TRANSPOSE(category!$C$2:$C$4), A344))*1, ROW(category!$C$2:$C$4)^0)&gt;0)*1)</f>
        <v>0</v>
      </c>
      <c r="F344" s="4" cm="1">
        <f t="array" ref="F344">SUM((MMULT(ISNUMBER(SEARCH(TRANSPOSE(category!$D$2:$D$10), A344))*1, ROW(category!$D$2:$D$10)^0)&gt;0)*1)</f>
        <v>0</v>
      </c>
      <c r="G344" s="4" cm="1">
        <f t="array" ref="G344">SUM((MMULT(ISNUMBER(SEARCH(TRANSPOSE(category!$E$2:$E$8), A344))*1, ROW(category!$E$2:$E$8)^0)&gt;0)*1)</f>
        <v>0</v>
      </c>
      <c r="H344" s="4" cm="1">
        <f t="array" ref="H344">SUM((MMULT(ISNUMBER(SEARCH(TRANSPOSE(category!$F$2:$F$9), A344))*1, ROW(category!$F$2:$F$9)^0)&gt;0)*1)</f>
        <v>0</v>
      </c>
    </row>
    <row r="345" spans="1:8" x14ac:dyDescent="0.45">
      <c r="A345" t="s">
        <v>717</v>
      </c>
      <c r="B345" s="6">
        <f t="shared" si="5"/>
        <v>17</v>
      </c>
      <c r="C345" s="4" cm="1">
        <f t="array" ref="C345">SUM((MMULT(ISNUMBER(SEARCH(TRANSPOSE(category!$A$2:$A$11), A345))*1, ROW(category!$A$2:$A$11)^0)&gt;0)*1)</f>
        <v>0</v>
      </c>
      <c r="D345" s="4" cm="1">
        <f t="array" ref="D345">SUM((MMULT(ISNUMBER(SEARCH(TRANSPOSE(category!$B$2:$B$25), A345))*1, ROW(category!$B$2:$B$25)^0)&gt;0)*1)</f>
        <v>1</v>
      </c>
      <c r="E345" s="4" cm="1">
        <f t="array" ref="E345">SUM((MMULT(ISNUMBER(SEARCH(TRANSPOSE(category!$C$2:$C$4), A345))*1, ROW(category!$C$2:$C$4)^0)&gt;0)*1)</f>
        <v>0</v>
      </c>
      <c r="F345" s="4" cm="1">
        <f t="array" ref="F345">SUM((MMULT(ISNUMBER(SEARCH(TRANSPOSE(category!$D$2:$D$10), A345))*1, ROW(category!$D$2:$D$10)^0)&gt;0)*1)</f>
        <v>0</v>
      </c>
      <c r="G345" s="4" cm="1">
        <f t="array" ref="G345">SUM((MMULT(ISNUMBER(SEARCH(TRANSPOSE(category!$E$2:$E$8), A345))*1, ROW(category!$E$2:$E$8)^0)&gt;0)*1)</f>
        <v>0</v>
      </c>
      <c r="H345" s="4" cm="1">
        <f t="array" ref="H345">SUM((MMULT(ISNUMBER(SEARCH(TRANSPOSE(category!$F$2:$F$9), A345))*1, ROW(category!$F$2:$F$9)^0)&gt;0)*1)</f>
        <v>0</v>
      </c>
    </row>
    <row r="346" spans="1:8" x14ac:dyDescent="0.45">
      <c r="A346" t="s">
        <v>719</v>
      </c>
      <c r="B346" s="6">
        <f t="shared" si="5"/>
        <v>7</v>
      </c>
      <c r="C346" s="4" cm="1">
        <f t="array" ref="C346">SUM((MMULT(ISNUMBER(SEARCH(TRANSPOSE(category!$A$2:$A$11), A346))*1, ROW(category!$A$2:$A$11)^0)&gt;0)*1)</f>
        <v>0</v>
      </c>
      <c r="D346" s="4" cm="1">
        <f t="array" ref="D346">SUM((MMULT(ISNUMBER(SEARCH(TRANSPOSE(category!$B$2:$B$25), A346))*1, ROW(category!$B$2:$B$25)^0)&gt;0)*1)</f>
        <v>1</v>
      </c>
      <c r="E346" s="4" cm="1">
        <f t="array" ref="E346">SUM((MMULT(ISNUMBER(SEARCH(TRANSPOSE(category!$C$2:$C$4), A346))*1, ROW(category!$C$2:$C$4)^0)&gt;0)*1)</f>
        <v>0</v>
      </c>
      <c r="F346" s="4" cm="1">
        <f t="array" ref="F346">SUM((MMULT(ISNUMBER(SEARCH(TRANSPOSE(category!$D$2:$D$10), A346))*1, ROW(category!$D$2:$D$10)^0)&gt;0)*1)</f>
        <v>0</v>
      </c>
      <c r="G346" s="4" cm="1">
        <f t="array" ref="G346">SUM((MMULT(ISNUMBER(SEARCH(TRANSPOSE(category!$E$2:$E$8), A346))*1, ROW(category!$E$2:$E$8)^0)&gt;0)*1)</f>
        <v>0</v>
      </c>
      <c r="H346" s="4" cm="1">
        <f t="array" ref="H346">SUM((MMULT(ISNUMBER(SEARCH(TRANSPOSE(category!$F$2:$F$9), A346))*1, ROW(category!$F$2:$F$9)^0)&gt;0)*1)</f>
        <v>0</v>
      </c>
    </row>
    <row r="347" spans="1:8" x14ac:dyDescent="0.45">
      <c r="A347" t="s">
        <v>721</v>
      </c>
      <c r="B347" s="6">
        <f t="shared" si="5"/>
        <v>22</v>
      </c>
      <c r="C347" s="4" cm="1">
        <f t="array" ref="C347">SUM((MMULT(ISNUMBER(SEARCH(TRANSPOSE(category!$A$2:$A$11), A347))*1, ROW(category!$A$2:$A$11)^0)&gt;0)*1)</f>
        <v>0</v>
      </c>
      <c r="D347" s="4" cm="1">
        <f t="array" ref="D347">SUM((MMULT(ISNUMBER(SEARCH(TRANSPOSE(category!$B$2:$B$25), A347))*1, ROW(category!$B$2:$B$25)^0)&gt;0)*1)</f>
        <v>1</v>
      </c>
      <c r="E347" s="4" cm="1">
        <f t="array" ref="E347">SUM((MMULT(ISNUMBER(SEARCH(TRANSPOSE(category!$C$2:$C$4), A347))*1, ROW(category!$C$2:$C$4)^0)&gt;0)*1)</f>
        <v>0</v>
      </c>
      <c r="F347" s="4" cm="1">
        <f t="array" ref="F347">SUM((MMULT(ISNUMBER(SEARCH(TRANSPOSE(category!$D$2:$D$10), A347))*1, ROW(category!$D$2:$D$10)^0)&gt;0)*1)</f>
        <v>1</v>
      </c>
      <c r="G347" s="4" cm="1">
        <f t="array" ref="G347">SUM((MMULT(ISNUMBER(SEARCH(TRANSPOSE(category!$E$2:$E$8), A347))*1, ROW(category!$E$2:$E$8)^0)&gt;0)*1)</f>
        <v>1</v>
      </c>
      <c r="H347" s="4" cm="1">
        <f t="array" ref="H347">SUM((MMULT(ISNUMBER(SEARCH(TRANSPOSE(category!$F$2:$F$9), A347))*1, ROW(category!$F$2:$F$9)^0)&gt;0)*1)</f>
        <v>0</v>
      </c>
    </row>
    <row r="348" spans="1:8" x14ac:dyDescent="0.45">
      <c r="A348" t="s">
        <v>723</v>
      </c>
      <c r="B348" s="6">
        <f t="shared" si="5"/>
        <v>28</v>
      </c>
      <c r="C348" s="4" cm="1">
        <f t="array" ref="C348">SUM((MMULT(ISNUMBER(SEARCH(TRANSPOSE(category!$A$2:$A$11), A348))*1, ROW(category!$A$2:$A$11)^0)&gt;0)*1)</f>
        <v>0</v>
      </c>
      <c r="D348" s="4" cm="1">
        <f t="array" ref="D348">SUM((MMULT(ISNUMBER(SEARCH(TRANSPOSE(category!$B$2:$B$25), A348))*1, ROW(category!$B$2:$B$25)^0)&gt;0)*1)</f>
        <v>1</v>
      </c>
      <c r="E348" s="4" cm="1">
        <f t="array" ref="E348">SUM((MMULT(ISNUMBER(SEARCH(TRANSPOSE(category!$C$2:$C$4), A348))*1, ROW(category!$C$2:$C$4)^0)&gt;0)*1)</f>
        <v>0</v>
      </c>
      <c r="F348" s="4" cm="1">
        <f t="array" ref="F348">SUM((MMULT(ISNUMBER(SEARCH(TRANSPOSE(category!$D$2:$D$10), A348))*1, ROW(category!$D$2:$D$10)^0)&gt;0)*1)</f>
        <v>1</v>
      </c>
      <c r="G348" s="4" cm="1">
        <f t="array" ref="G348">SUM((MMULT(ISNUMBER(SEARCH(TRANSPOSE(category!$E$2:$E$8), A348))*1, ROW(category!$E$2:$E$8)^0)&gt;0)*1)</f>
        <v>0</v>
      </c>
      <c r="H348" s="4" cm="1">
        <f t="array" ref="H348">SUM((MMULT(ISNUMBER(SEARCH(TRANSPOSE(category!$F$2:$F$9), A348))*1, ROW(category!$F$2:$F$9)^0)&gt;0)*1)</f>
        <v>0</v>
      </c>
    </row>
    <row r="349" spans="1:8" x14ac:dyDescent="0.45">
      <c r="A349" t="s">
        <v>725</v>
      </c>
      <c r="B349" s="6">
        <f t="shared" si="5"/>
        <v>14</v>
      </c>
      <c r="C349" s="4" cm="1">
        <f t="array" ref="C349">SUM((MMULT(ISNUMBER(SEARCH(TRANSPOSE(category!$A$2:$A$11), A349))*1, ROW(category!$A$2:$A$11)^0)&gt;0)*1)</f>
        <v>0</v>
      </c>
      <c r="D349" s="4" cm="1">
        <f t="array" ref="D349">SUM((MMULT(ISNUMBER(SEARCH(TRANSPOSE(category!$B$2:$B$25), A349))*1, ROW(category!$B$2:$B$25)^0)&gt;0)*1)</f>
        <v>1</v>
      </c>
      <c r="E349" s="4" cm="1">
        <f t="array" ref="E349">SUM((MMULT(ISNUMBER(SEARCH(TRANSPOSE(category!$C$2:$C$4), A349))*1, ROW(category!$C$2:$C$4)^0)&gt;0)*1)</f>
        <v>0</v>
      </c>
      <c r="F349" s="4" cm="1">
        <f t="array" ref="F349">SUM((MMULT(ISNUMBER(SEARCH(TRANSPOSE(category!$D$2:$D$10), A349))*1, ROW(category!$D$2:$D$10)^0)&gt;0)*1)</f>
        <v>1</v>
      </c>
      <c r="G349" s="4" cm="1">
        <f t="array" ref="G349">SUM((MMULT(ISNUMBER(SEARCH(TRANSPOSE(category!$E$2:$E$8), A349))*1, ROW(category!$E$2:$E$8)^0)&gt;0)*1)</f>
        <v>0</v>
      </c>
      <c r="H349" s="4" cm="1">
        <f t="array" ref="H349">SUM((MMULT(ISNUMBER(SEARCH(TRANSPOSE(category!$F$2:$F$9), A349))*1, ROW(category!$F$2:$F$9)^0)&gt;0)*1)</f>
        <v>0</v>
      </c>
    </row>
    <row r="350" spans="1:8" x14ac:dyDescent="0.45">
      <c r="A350" t="s">
        <v>727</v>
      </c>
      <c r="B350" s="6">
        <f t="shared" si="5"/>
        <v>26</v>
      </c>
      <c r="C350" s="4" cm="1">
        <f t="array" ref="C350">SUM((MMULT(ISNUMBER(SEARCH(TRANSPOSE(category!$A$2:$A$11), A350))*1, ROW(category!$A$2:$A$11)^0)&gt;0)*1)</f>
        <v>0</v>
      </c>
      <c r="D350" s="4" cm="1">
        <f t="array" ref="D350">SUM((MMULT(ISNUMBER(SEARCH(TRANSPOSE(category!$B$2:$B$25), A350))*1, ROW(category!$B$2:$B$25)^0)&gt;0)*1)</f>
        <v>1</v>
      </c>
      <c r="E350" s="4" cm="1">
        <f t="array" ref="E350">SUM((MMULT(ISNUMBER(SEARCH(TRANSPOSE(category!$C$2:$C$4), A350))*1, ROW(category!$C$2:$C$4)^0)&gt;0)*1)</f>
        <v>0</v>
      </c>
      <c r="F350" s="4" cm="1">
        <f t="array" ref="F350">SUM((MMULT(ISNUMBER(SEARCH(TRANSPOSE(category!$D$2:$D$10), A350))*1, ROW(category!$D$2:$D$10)^0)&gt;0)*1)</f>
        <v>0</v>
      </c>
      <c r="G350" s="4" cm="1">
        <f t="array" ref="G350">SUM((MMULT(ISNUMBER(SEARCH(TRANSPOSE(category!$E$2:$E$8), A350))*1, ROW(category!$E$2:$E$8)^0)&gt;0)*1)</f>
        <v>0</v>
      </c>
      <c r="H350" s="4" cm="1">
        <f t="array" ref="H350">SUM((MMULT(ISNUMBER(SEARCH(TRANSPOSE(category!$F$2:$F$9), A350))*1, ROW(category!$F$2:$F$9)^0)&gt;0)*1)</f>
        <v>0</v>
      </c>
    </row>
    <row r="351" spans="1:8" x14ac:dyDescent="0.45">
      <c r="A351" t="s">
        <v>729</v>
      </c>
      <c r="B351" s="6">
        <f t="shared" si="5"/>
        <v>8</v>
      </c>
      <c r="C351" s="4" cm="1">
        <f t="array" ref="C351">SUM((MMULT(ISNUMBER(SEARCH(TRANSPOSE(category!$A$2:$A$11), A351))*1, ROW(category!$A$2:$A$11)^0)&gt;0)*1)</f>
        <v>0</v>
      </c>
      <c r="D351" s="4" cm="1">
        <f t="array" ref="D351">SUM((MMULT(ISNUMBER(SEARCH(TRANSPOSE(category!$B$2:$B$25), A351))*1, ROW(category!$B$2:$B$25)^0)&gt;0)*1)</f>
        <v>1</v>
      </c>
      <c r="E351" s="4" cm="1">
        <f t="array" ref="E351">SUM((MMULT(ISNUMBER(SEARCH(TRANSPOSE(category!$C$2:$C$4), A351))*1, ROW(category!$C$2:$C$4)^0)&gt;0)*1)</f>
        <v>0</v>
      </c>
      <c r="F351" s="4" cm="1">
        <f t="array" ref="F351">SUM((MMULT(ISNUMBER(SEARCH(TRANSPOSE(category!$D$2:$D$10), A351))*1, ROW(category!$D$2:$D$10)^0)&gt;0)*1)</f>
        <v>0</v>
      </c>
      <c r="G351" s="4" cm="1">
        <f t="array" ref="G351">SUM((MMULT(ISNUMBER(SEARCH(TRANSPOSE(category!$E$2:$E$8), A351))*1, ROW(category!$E$2:$E$8)^0)&gt;0)*1)</f>
        <v>0</v>
      </c>
      <c r="H351" s="4" cm="1">
        <f t="array" ref="H351">SUM((MMULT(ISNUMBER(SEARCH(TRANSPOSE(category!$F$2:$F$9), A351))*1, ROW(category!$F$2:$F$9)^0)&gt;0)*1)</f>
        <v>0</v>
      </c>
    </row>
    <row r="352" spans="1:8" x14ac:dyDescent="0.45">
      <c r="A352" t="s">
        <v>731</v>
      </c>
      <c r="B352" s="6">
        <f t="shared" si="5"/>
        <v>8</v>
      </c>
      <c r="C352" s="4" cm="1">
        <f t="array" ref="C352">SUM((MMULT(ISNUMBER(SEARCH(TRANSPOSE(category!$A$2:$A$11), A352))*1, ROW(category!$A$2:$A$11)^0)&gt;0)*1)</f>
        <v>0</v>
      </c>
      <c r="D352" s="4" cm="1">
        <f t="array" ref="D352">SUM((MMULT(ISNUMBER(SEARCH(TRANSPOSE(category!$B$2:$B$25), A352))*1, ROW(category!$B$2:$B$25)^0)&gt;0)*1)</f>
        <v>1</v>
      </c>
      <c r="E352" s="4" cm="1">
        <f t="array" ref="E352">SUM((MMULT(ISNUMBER(SEARCH(TRANSPOSE(category!$C$2:$C$4), A352))*1, ROW(category!$C$2:$C$4)^0)&gt;0)*1)</f>
        <v>0</v>
      </c>
      <c r="F352" s="4" cm="1">
        <f t="array" ref="F352">SUM((MMULT(ISNUMBER(SEARCH(TRANSPOSE(category!$D$2:$D$10), A352))*1, ROW(category!$D$2:$D$10)^0)&gt;0)*1)</f>
        <v>0</v>
      </c>
      <c r="G352" s="4" cm="1">
        <f t="array" ref="G352">SUM((MMULT(ISNUMBER(SEARCH(TRANSPOSE(category!$E$2:$E$8), A352))*1, ROW(category!$E$2:$E$8)^0)&gt;0)*1)</f>
        <v>0</v>
      </c>
      <c r="H352" s="4" cm="1">
        <f t="array" ref="H352">SUM((MMULT(ISNUMBER(SEARCH(TRANSPOSE(category!$F$2:$F$9), A352))*1, ROW(category!$F$2:$F$9)^0)&gt;0)*1)</f>
        <v>0</v>
      </c>
    </row>
    <row r="353" spans="1:8" x14ac:dyDescent="0.45">
      <c r="A353" t="s">
        <v>733</v>
      </c>
      <c r="B353" s="6">
        <f t="shared" si="5"/>
        <v>21</v>
      </c>
      <c r="C353" s="4" cm="1">
        <f t="array" ref="C353">SUM((MMULT(ISNUMBER(SEARCH(TRANSPOSE(category!$A$2:$A$11), A353))*1, ROW(category!$A$2:$A$11)^0)&gt;0)*1)</f>
        <v>0</v>
      </c>
      <c r="D353" s="4" cm="1">
        <f t="array" ref="D353">SUM((MMULT(ISNUMBER(SEARCH(TRANSPOSE(category!$B$2:$B$25), A353))*1, ROW(category!$B$2:$B$25)^0)&gt;0)*1)</f>
        <v>0</v>
      </c>
      <c r="E353" s="4" cm="1">
        <f t="array" ref="E353">SUM((MMULT(ISNUMBER(SEARCH(TRANSPOSE(category!$C$2:$C$4), A353))*1, ROW(category!$C$2:$C$4)^0)&gt;0)*1)</f>
        <v>0</v>
      </c>
      <c r="F353" s="4" cm="1">
        <f t="array" ref="F353">SUM((MMULT(ISNUMBER(SEARCH(TRANSPOSE(category!$D$2:$D$10), A353))*1, ROW(category!$D$2:$D$10)^0)&gt;0)*1)</f>
        <v>0</v>
      </c>
      <c r="G353" s="4" cm="1">
        <f t="array" ref="G353">SUM((MMULT(ISNUMBER(SEARCH(TRANSPOSE(category!$E$2:$E$8), A353))*1, ROW(category!$E$2:$E$8)^0)&gt;0)*1)</f>
        <v>0</v>
      </c>
      <c r="H353" s="4" cm="1">
        <f t="array" ref="H353">SUM((MMULT(ISNUMBER(SEARCH(TRANSPOSE(category!$F$2:$F$9), A353))*1, ROW(category!$F$2:$F$9)^0)&gt;0)*1)</f>
        <v>0</v>
      </c>
    </row>
    <row r="354" spans="1:8" x14ac:dyDescent="0.45">
      <c r="A354" t="s">
        <v>735</v>
      </c>
      <c r="B354" s="6">
        <f t="shared" si="5"/>
        <v>6</v>
      </c>
      <c r="C354" s="4" cm="1">
        <f t="array" ref="C354">SUM((MMULT(ISNUMBER(SEARCH(TRANSPOSE(category!$A$2:$A$11), A354))*1, ROW(category!$A$2:$A$11)^0)&gt;0)*1)</f>
        <v>0</v>
      </c>
      <c r="D354" s="4" cm="1">
        <f t="array" ref="D354">SUM((MMULT(ISNUMBER(SEARCH(TRANSPOSE(category!$B$2:$B$25), A354))*1, ROW(category!$B$2:$B$25)^0)&gt;0)*1)</f>
        <v>1</v>
      </c>
      <c r="E354" s="4" cm="1">
        <f t="array" ref="E354">SUM((MMULT(ISNUMBER(SEARCH(TRANSPOSE(category!$C$2:$C$4), A354))*1, ROW(category!$C$2:$C$4)^0)&gt;0)*1)</f>
        <v>0</v>
      </c>
      <c r="F354" s="4" cm="1">
        <f t="array" ref="F354">SUM((MMULT(ISNUMBER(SEARCH(TRANSPOSE(category!$D$2:$D$10), A354))*1, ROW(category!$D$2:$D$10)^0)&gt;0)*1)</f>
        <v>0</v>
      </c>
      <c r="G354" s="4" cm="1">
        <f t="array" ref="G354">SUM((MMULT(ISNUMBER(SEARCH(TRANSPOSE(category!$E$2:$E$8), A354))*1, ROW(category!$E$2:$E$8)^0)&gt;0)*1)</f>
        <v>0</v>
      </c>
      <c r="H354" s="4" cm="1">
        <f t="array" ref="H354">SUM((MMULT(ISNUMBER(SEARCH(TRANSPOSE(category!$F$2:$F$9), A354))*1, ROW(category!$F$2:$F$9)^0)&gt;0)*1)</f>
        <v>0</v>
      </c>
    </row>
    <row r="355" spans="1:8" x14ac:dyDescent="0.45">
      <c r="A355" t="s">
        <v>737</v>
      </c>
      <c r="B355" s="6">
        <f t="shared" si="5"/>
        <v>28</v>
      </c>
      <c r="C355" s="4" cm="1">
        <f t="array" ref="C355">SUM((MMULT(ISNUMBER(SEARCH(TRANSPOSE(category!$A$2:$A$11), A355))*1, ROW(category!$A$2:$A$11)^0)&gt;0)*1)</f>
        <v>0</v>
      </c>
      <c r="D355" s="4" cm="1">
        <f t="array" ref="D355">SUM((MMULT(ISNUMBER(SEARCH(TRANSPOSE(category!$B$2:$B$25), A355))*1, ROW(category!$B$2:$B$25)^0)&gt;0)*1)</f>
        <v>1</v>
      </c>
      <c r="E355" s="4" cm="1">
        <f t="array" ref="E355">SUM((MMULT(ISNUMBER(SEARCH(TRANSPOSE(category!$C$2:$C$4), A355))*1, ROW(category!$C$2:$C$4)^0)&gt;0)*1)</f>
        <v>1</v>
      </c>
      <c r="F355" s="4" cm="1">
        <f t="array" ref="F355">SUM((MMULT(ISNUMBER(SEARCH(TRANSPOSE(category!$D$2:$D$10), A355))*1, ROW(category!$D$2:$D$10)^0)&gt;0)*1)</f>
        <v>0</v>
      </c>
      <c r="G355" s="4" cm="1">
        <f t="array" ref="G355">SUM((MMULT(ISNUMBER(SEARCH(TRANSPOSE(category!$E$2:$E$8), A355))*1, ROW(category!$E$2:$E$8)^0)&gt;0)*1)</f>
        <v>1</v>
      </c>
      <c r="H355" s="4" cm="1">
        <f t="array" ref="H355">SUM((MMULT(ISNUMBER(SEARCH(TRANSPOSE(category!$F$2:$F$9), A355))*1, ROW(category!$F$2:$F$9)^0)&gt;0)*1)</f>
        <v>0</v>
      </c>
    </row>
    <row r="356" spans="1:8" x14ac:dyDescent="0.45">
      <c r="A356" t="s">
        <v>739</v>
      </c>
      <c r="B356" s="6">
        <f t="shared" si="5"/>
        <v>17</v>
      </c>
      <c r="C356" s="4" cm="1">
        <f t="array" ref="C356">SUM((MMULT(ISNUMBER(SEARCH(TRANSPOSE(category!$A$2:$A$11), A356))*1, ROW(category!$A$2:$A$11)^0)&gt;0)*1)</f>
        <v>0</v>
      </c>
      <c r="D356" s="4" cm="1">
        <f t="array" ref="D356">SUM((MMULT(ISNUMBER(SEARCH(TRANSPOSE(category!$B$2:$B$25), A356))*1, ROW(category!$B$2:$B$25)^0)&gt;0)*1)</f>
        <v>1</v>
      </c>
      <c r="E356" s="4" cm="1">
        <f t="array" ref="E356">SUM((MMULT(ISNUMBER(SEARCH(TRANSPOSE(category!$C$2:$C$4), A356))*1, ROW(category!$C$2:$C$4)^0)&gt;0)*1)</f>
        <v>0</v>
      </c>
      <c r="F356" s="4" cm="1">
        <f t="array" ref="F356">SUM((MMULT(ISNUMBER(SEARCH(TRANSPOSE(category!$D$2:$D$10), A356))*1, ROW(category!$D$2:$D$10)^0)&gt;0)*1)</f>
        <v>1</v>
      </c>
      <c r="G356" s="4" cm="1">
        <f t="array" ref="G356">SUM((MMULT(ISNUMBER(SEARCH(TRANSPOSE(category!$E$2:$E$8), A356))*1, ROW(category!$E$2:$E$8)^0)&gt;0)*1)</f>
        <v>1</v>
      </c>
      <c r="H356" s="4" cm="1">
        <f t="array" ref="H356">SUM((MMULT(ISNUMBER(SEARCH(TRANSPOSE(category!$F$2:$F$9), A356))*1, ROW(category!$F$2:$F$9)^0)&gt;0)*1)</f>
        <v>0</v>
      </c>
    </row>
    <row r="357" spans="1:8" x14ac:dyDescent="0.45">
      <c r="A357" t="s">
        <v>741</v>
      </c>
      <c r="B357" s="6">
        <f t="shared" si="5"/>
        <v>31</v>
      </c>
      <c r="C357" s="4" cm="1">
        <f t="array" ref="C357">SUM((MMULT(ISNUMBER(SEARCH(TRANSPOSE(category!$A$2:$A$11), A357))*1, ROW(category!$A$2:$A$11)^0)&gt;0)*1)</f>
        <v>0</v>
      </c>
      <c r="D357" s="4" cm="1">
        <f t="array" ref="D357">SUM((MMULT(ISNUMBER(SEARCH(TRANSPOSE(category!$B$2:$B$25), A357))*1, ROW(category!$B$2:$B$25)^0)&gt;0)*1)</f>
        <v>1</v>
      </c>
      <c r="E357" s="4" cm="1">
        <f t="array" ref="E357">SUM((MMULT(ISNUMBER(SEARCH(TRANSPOSE(category!$C$2:$C$4), A357))*1, ROW(category!$C$2:$C$4)^0)&gt;0)*1)</f>
        <v>0</v>
      </c>
      <c r="F357" s="4" cm="1">
        <f t="array" ref="F357">SUM((MMULT(ISNUMBER(SEARCH(TRANSPOSE(category!$D$2:$D$10), A357))*1, ROW(category!$D$2:$D$10)^0)&gt;0)*1)</f>
        <v>0</v>
      </c>
      <c r="G357" s="4" cm="1">
        <f t="array" ref="G357">SUM((MMULT(ISNUMBER(SEARCH(TRANSPOSE(category!$E$2:$E$8), A357))*1, ROW(category!$E$2:$E$8)^0)&gt;0)*1)</f>
        <v>0</v>
      </c>
      <c r="H357" s="4" cm="1">
        <f t="array" ref="H357">SUM((MMULT(ISNUMBER(SEARCH(TRANSPOSE(category!$F$2:$F$9), A357))*1, ROW(category!$F$2:$F$9)^0)&gt;0)*1)</f>
        <v>0</v>
      </c>
    </row>
    <row r="358" spans="1:8" x14ac:dyDescent="0.45">
      <c r="A358" t="s">
        <v>743</v>
      </c>
      <c r="B358" s="6">
        <f t="shared" si="5"/>
        <v>8</v>
      </c>
      <c r="C358" s="4" cm="1">
        <f t="array" ref="C358">SUM((MMULT(ISNUMBER(SEARCH(TRANSPOSE(category!$A$2:$A$11), A358))*1, ROW(category!$A$2:$A$11)^0)&gt;0)*1)</f>
        <v>0</v>
      </c>
      <c r="D358" s="4" cm="1">
        <f t="array" ref="D358">SUM((MMULT(ISNUMBER(SEARCH(TRANSPOSE(category!$B$2:$B$25), A358))*1, ROW(category!$B$2:$B$25)^0)&gt;0)*1)</f>
        <v>0</v>
      </c>
      <c r="E358" s="4" cm="1">
        <f t="array" ref="E358">SUM((MMULT(ISNUMBER(SEARCH(TRANSPOSE(category!$C$2:$C$4), A358))*1, ROW(category!$C$2:$C$4)^0)&gt;0)*1)</f>
        <v>0</v>
      </c>
      <c r="F358" s="4" cm="1">
        <f t="array" ref="F358">SUM((MMULT(ISNUMBER(SEARCH(TRANSPOSE(category!$D$2:$D$10), A358))*1, ROW(category!$D$2:$D$10)^0)&gt;0)*1)</f>
        <v>0</v>
      </c>
      <c r="G358" s="4" cm="1">
        <f t="array" ref="G358">SUM((MMULT(ISNUMBER(SEARCH(TRANSPOSE(category!$E$2:$E$8), A358))*1, ROW(category!$E$2:$E$8)^0)&gt;0)*1)</f>
        <v>0</v>
      </c>
      <c r="H358" s="4" cm="1">
        <f t="array" ref="H358">SUM((MMULT(ISNUMBER(SEARCH(TRANSPOSE(category!$F$2:$F$9), A358))*1, ROW(category!$F$2:$F$9)^0)&gt;0)*1)</f>
        <v>0</v>
      </c>
    </row>
    <row r="359" spans="1:8" x14ac:dyDescent="0.45">
      <c r="A359" t="s">
        <v>745</v>
      </c>
      <c r="B359" s="6">
        <f t="shared" si="5"/>
        <v>7</v>
      </c>
      <c r="C359" s="4" cm="1">
        <f t="array" ref="C359">SUM((MMULT(ISNUMBER(SEARCH(TRANSPOSE(category!$A$2:$A$11), A359))*1, ROW(category!$A$2:$A$11)^0)&gt;0)*1)</f>
        <v>0</v>
      </c>
      <c r="D359" s="4" cm="1">
        <f t="array" ref="D359">SUM((MMULT(ISNUMBER(SEARCH(TRANSPOSE(category!$B$2:$B$25), A359))*1, ROW(category!$B$2:$B$25)^0)&gt;0)*1)</f>
        <v>1</v>
      </c>
      <c r="E359" s="4" cm="1">
        <f t="array" ref="E359">SUM((MMULT(ISNUMBER(SEARCH(TRANSPOSE(category!$C$2:$C$4), A359))*1, ROW(category!$C$2:$C$4)^0)&gt;0)*1)</f>
        <v>0</v>
      </c>
      <c r="F359" s="4" cm="1">
        <f t="array" ref="F359">SUM((MMULT(ISNUMBER(SEARCH(TRANSPOSE(category!$D$2:$D$10), A359))*1, ROW(category!$D$2:$D$10)^0)&gt;0)*1)</f>
        <v>0</v>
      </c>
      <c r="G359" s="4" cm="1">
        <f t="array" ref="G359">SUM((MMULT(ISNUMBER(SEARCH(TRANSPOSE(category!$E$2:$E$8), A359))*1, ROW(category!$E$2:$E$8)^0)&gt;0)*1)</f>
        <v>0</v>
      </c>
      <c r="H359" s="4" cm="1">
        <f t="array" ref="H359">SUM((MMULT(ISNUMBER(SEARCH(TRANSPOSE(category!$F$2:$F$9), A359))*1, ROW(category!$F$2:$F$9)^0)&gt;0)*1)</f>
        <v>0</v>
      </c>
    </row>
    <row r="360" spans="1:8" x14ac:dyDescent="0.45">
      <c r="A360" t="s">
        <v>747</v>
      </c>
      <c r="B360" s="6">
        <f t="shared" si="5"/>
        <v>22</v>
      </c>
      <c r="C360" s="4" cm="1">
        <f t="array" ref="C360">SUM((MMULT(ISNUMBER(SEARCH(TRANSPOSE(category!$A$2:$A$11), A360))*1, ROW(category!$A$2:$A$11)^0)&gt;0)*1)</f>
        <v>0</v>
      </c>
      <c r="D360" s="4" cm="1">
        <f t="array" ref="D360">SUM((MMULT(ISNUMBER(SEARCH(TRANSPOSE(category!$B$2:$B$25), A360))*1, ROW(category!$B$2:$B$25)^0)&gt;0)*1)</f>
        <v>1</v>
      </c>
      <c r="E360" s="4" cm="1">
        <f t="array" ref="E360">SUM((MMULT(ISNUMBER(SEARCH(TRANSPOSE(category!$C$2:$C$4), A360))*1, ROW(category!$C$2:$C$4)^0)&gt;0)*1)</f>
        <v>0</v>
      </c>
      <c r="F360" s="4" cm="1">
        <f t="array" ref="F360">SUM((MMULT(ISNUMBER(SEARCH(TRANSPOSE(category!$D$2:$D$10), A360))*1, ROW(category!$D$2:$D$10)^0)&gt;0)*1)</f>
        <v>0</v>
      </c>
      <c r="G360" s="4" cm="1">
        <f t="array" ref="G360">SUM((MMULT(ISNUMBER(SEARCH(TRANSPOSE(category!$E$2:$E$8), A360))*1, ROW(category!$E$2:$E$8)^0)&gt;0)*1)</f>
        <v>0</v>
      </c>
      <c r="H360" s="4" cm="1">
        <f t="array" ref="H360">SUM((MMULT(ISNUMBER(SEARCH(TRANSPOSE(category!$F$2:$F$9), A360))*1, ROW(category!$F$2:$F$9)^0)&gt;0)*1)</f>
        <v>0</v>
      </c>
    </row>
    <row r="361" spans="1:8" x14ac:dyDescent="0.45">
      <c r="A361" t="s">
        <v>749</v>
      </c>
      <c r="B361" s="6">
        <f t="shared" si="5"/>
        <v>2</v>
      </c>
      <c r="C361" s="4" cm="1">
        <f t="array" ref="C361">SUM((MMULT(ISNUMBER(SEARCH(TRANSPOSE(category!$A$2:$A$11), A361))*1, ROW(category!$A$2:$A$11)^0)&gt;0)*1)</f>
        <v>0</v>
      </c>
      <c r="D361" s="4" cm="1">
        <f t="array" ref="D361">SUM((MMULT(ISNUMBER(SEARCH(TRANSPOSE(category!$B$2:$B$25), A361))*1, ROW(category!$B$2:$B$25)^0)&gt;0)*1)</f>
        <v>0</v>
      </c>
      <c r="E361" s="4" cm="1">
        <f t="array" ref="E361">SUM((MMULT(ISNUMBER(SEARCH(TRANSPOSE(category!$C$2:$C$4), A361))*1, ROW(category!$C$2:$C$4)^0)&gt;0)*1)</f>
        <v>0</v>
      </c>
      <c r="F361" s="4" cm="1">
        <f t="array" ref="F361">SUM((MMULT(ISNUMBER(SEARCH(TRANSPOSE(category!$D$2:$D$10), A361))*1, ROW(category!$D$2:$D$10)^0)&gt;0)*1)</f>
        <v>0</v>
      </c>
      <c r="G361" s="4" cm="1">
        <f t="array" ref="G361">SUM((MMULT(ISNUMBER(SEARCH(TRANSPOSE(category!$E$2:$E$8), A361))*1, ROW(category!$E$2:$E$8)^0)&gt;0)*1)</f>
        <v>0</v>
      </c>
      <c r="H361" s="4" cm="1">
        <f t="array" ref="H361">SUM((MMULT(ISNUMBER(SEARCH(TRANSPOSE(category!$F$2:$F$9), A361))*1, ROW(category!$F$2:$F$9)^0)&gt;0)*1)</f>
        <v>0</v>
      </c>
    </row>
    <row r="362" spans="1:8" x14ac:dyDescent="0.45">
      <c r="A362" t="s">
        <v>751</v>
      </c>
      <c r="B362" s="6">
        <f t="shared" si="5"/>
        <v>2</v>
      </c>
      <c r="C362" s="4" cm="1">
        <f t="array" ref="C362">SUM((MMULT(ISNUMBER(SEARCH(TRANSPOSE(category!$A$2:$A$11), A362))*1, ROW(category!$A$2:$A$11)^0)&gt;0)*1)</f>
        <v>0</v>
      </c>
      <c r="D362" s="4" cm="1">
        <f t="array" ref="D362">SUM((MMULT(ISNUMBER(SEARCH(TRANSPOSE(category!$B$2:$B$25), A362))*1, ROW(category!$B$2:$B$25)^0)&gt;0)*1)</f>
        <v>1</v>
      </c>
      <c r="E362" s="4" cm="1">
        <f t="array" ref="E362">SUM((MMULT(ISNUMBER(SEARCH(TRANSPOSE(category!$C$2:$C$4), A362))*1, ROW(category!$C$2:$C$4)^0)&gt;0)*1)</f>
        <v>0</v>
      </c>
      <c r="F362" s="4" cm="1">
        <f t="array" ref="F362">SUM((MMULT(ISNUMBER(SEARCH(TRANSPOSE(category!$D$2:$D$10), A362))*1, ROW(category!$D$2:$D$10)^0)&gt;0)*1)</f>
        <v>0</v>
      </c>
      <c r="G362" s="4" cm="1">
        <f t="array" ref="G362">SUM((MMULT(ISNUMBER(SEARCH(TRANSPOSE(category!$E$2:$E$8), A362))*1, ROW(category!$E$2:$E$8)^0)&gt;0)*1)</f>
        <v>0</v>
      </c>
      <c r="H362" s="4" cm="1">
        <f t="array" ref="H362">SUM((MMULT(ISNUMBER(SEARCH(TRANSPOSE(category!$F$2:$F$9), A362))*1, ROW(category!$F$2:$F$9)^0)&gt;0)*1)</f>
        <v>0</v>
      </c>
    </row>
    <row r="363" spans="1:8" x14ac:dyDescent="0.45">
      <c r="A363" t="s">
        <v>753</v>
      </c>
      <c r="B363" s="6">
        <f t="shared" si="5"/>
        <v>12</v>
      </c>
      <c r="C363" s="4" cm="1">
        <f t="array" ref="C363">SUM((MMULT(ISNUMBER(SEARCH(TRANSPOSE(category!$A$2:$A$11), A363))*1, ROW(category!$A$2:$A$11)^0)&gt;0)*1)</f>
        <v>0</v>
      </c>
      <c r="D363" s="4" cm="1">
        <f t="array" ref="D363">SUM((MMULT(ISNUMBER(SEARCH(TRANSPOSE(category!$B$2:$B$25), A363))*1, ROW(category!$B$2:$B$25)^0)&gt;0)*1)</f>
        <v>1</v>
      </c>
      <c r="E363" s="4" cm="1">
        <f t="array" ref="E363">SUM((MMULT(ISNUMBER(SEARCH(TRANSPOSE(category!$C$2:$C$4), A363))*1, ROW(category!$C$2:$C$4)^0)&gt;0)*1)</f>
        <v>0</v>
      </c>
      <c r="F363" s="4" cm="1">
        <f t="array" ref="F363">SUM((MMULT(ISNUMBER(SEARCH(TRANSPOSE(category!$D$2:$D$10), A363))*1, ROW(category!$D$2:$D$10)^0)&gt;0)*1)</f>
        <v>1</v>
      </c>
      <c r="G363" s="4" cm="1">
        <f t="array" ref="G363">SUM((MMULT(ISNUMBER(SEARCH(TRANSPOSE(category!$E$2:$E$8), A363))*1, ROW(category!$E$2:$E$8)^0)&gt;0)*1)</f>
        <v>0</v>
      </c>
      <c r="H363" s="4" cm="1">
        <f t="array" ref="H363">SUM((MMULT(ISNUMBER(SEARCH(TRANSPOSE(category!$F$2:$F$9), A363))*1, ROW(category!$F$2:$F$9)^0)&gt;0)*1)</f>
        <v>0</v>
      </c>
    </row>
    <row r="364" spans="1:8" x14ac:dyDescent="0.45">
      <c r="A364" t="s">
        <v>755</v>
      </c>
      <c r="B364" s="6">
        <f t="shared" si="5"/>
        <v>9</v>
      </c>
      <c r="C364" s="4" cm="1">
        <f t="array" ref="C364">SUM((MMULT(ISNUMBER(SEARCH(TRANSPOSE(category!$A$2:$A$11), A364))*1, ROW(category!$A$2:$A$11)^0)&gt;0)*1)</f>
        <v>0</v>
      </c>
      <c r="D364" s="4" cm="1">
        <f t="array" ref="D364">SUM((MMULT(ISNUMBER(SEARCH(TRANSPOSE(category!$B$2:$B$25), A364))*1, ROW(category!$B$2:$B$25)^0)&gt;0)*1)</f>
        <v>1</v>
      </c>
      <c r="E364" s="4" cm="1">
        <f t="array" ref="E364">SUM((MMULT(ISNUMBER(SEARCH(TRANSPOSE(category!$C$2:$C$4), A364))*1, ROW(category!$C$2:$C$4)^0)&gt;0)*1)</f>
        <v>0</v>
      </c>
      <c r="F364" s="4" cm="1">
        <f t="array" ref="F364">SUM((MMULT(ISNUMBER(SEARCH(TRANSPOSE(category!$D$2:$D$10), A364))*1, ROW(category!$D$2:$D$10)^0)&gt;0)*1)</f>
        <v>0</v>
      </c>
      <c r="G364" s="4" cm="1">
        <f t="array" ref="G364">SUM((MMULT(ISNUMBER(SEARCH(TRANSPOSE(category!$E$2:$E$8), A364))*1, ROW(category!$E$2:$E$8)^0)&gt;0)*1)</f>
        <v>0</v>
      </c>
      <c r="H364" s="4" cm="1">
        <f t="array" ref="H364">SUM((MMULT(ISNUMBER(SEARCH(TRANSPOSE(category!$F$2:$F$9), A364))*1, ROW(category!$F$2:$F$9)^0)&gt;0)*1)</f>
        <v>0</v>
      </c>
    </row>
    <row r="365" spans="1:8" x14ac:dyDescent="0.45">
      <c r="A365" t="s">
        <v>758</v>
      </c>
      <c r="B365" s="6">
        <f t="shared" si="5"/>
        <v>26</v>
      </c>
      <c r="C365" s="4" cm="1">
        <f t="array" ref="C365">SUM((MMULT(ISNUMBER(SEARCH(TRANSPOSE(category!$A$2:$A$11), A365))*1, ROW(category!$A$2:$A$11)^0)&gt;0)*1)</f>
        <v>0</v>
      </c>
      <c r="D365" s="4" cm="1">
        <f t="array" ref="D365">SUM((MMULT(ISNUMBER(SEARCH(TRANSPOSE(category!$B$2:$B$25), A365))*1, ROW(category!$B$2:$B$25)^0)&gt;0)*1)</f>
        <v>1</v>
      </c>
      <c r="E365" s="4" cm="1">
        <f t="array" ref="E365">SUM((MMULT(ISNUMBER(SEARCH(TRANSPOSE(category!$C$2:$C$4), A365))*1, ROW(category!$C$2:$C$4)^0)&gt;0)*1)</f>
        <v>0</v>
      </c>
      <c r="F365" s="4" cm="1">
        <f t="array" ref="F365">SUM((MMULT(ISNUMBER(SEARCH(TRANSPOSE(category!$D$2:$D$10), A365))*1, ROW(category!$D$2:$D$10)^0)&gt;0)*1)</f>
        <v>0</v>
      </c>
      <c r="G365" s="4" cm="1">
        <f t="array" ref="G365">SUM((MMULT(ISNUMBER(SEARCH(TRANSPOSE(category!$E$2:$E$8), A365))*1, ROW(category!$E$2:$E$8)^0)&gt;0)*1)</f>
        <v>0</v>
      </c>
      <c r="H365" s="4" cm="1">
        <f t="array" ref="H365">SUM((MMULT(ISNUMBER(SEARCH(TRANSPOSE(category!$F$2:$F$9), A365))*1, ROW(category!$F$2:$F$9)^0)&gt;0)*1)</f>
        <v>0</v>
      </c>
    </row>
    <row r="366" spans="1:8" x14ac:dyDescent="0.45">
      <c r="A366" t="s">
        <v>760</v>
      </c>
      <c r="B366" s="6">
        <f t="shared" si="5"/>
        <v>17</v>
      </c>
      <c r="C366" s="4" cm="1">
        <f t="array" ref="C366">SUM((MMULT(ISNUMBER(SEARCH(TRANSPOSE(category!$A$2:$A$11), A366))*1, ROW(category!$A$2:$A$11)^0)&gt;0)*1)</f>
        <v>0</v>
      </c>
      <c r="D366" s="4" cm="1">
        <f t="array" ref="D366">SUM((MMULT(ISNUMBER(SEARCH(TRANSPOSE(category!$B$2:$B$25), A366))*1, ROW(category!$B$2:$B$25)^0)&gt;0)*1)</f>
        <v>1</v>
      </c>
      <c r="E366" s="4" cm="1">
        <f t="array" ref="E366">SUM((MMULT(ISNUMBER(SEARCH(TRANSPOSE(category!$C$2:$C$4), A366))*1, ROW(category!$C$2:$C$4)^0)&gt;0)*1)</f>
        <v>0</v>
      </c>
      <c r="F366" s="4" cm="1">
        <f t="array" ref="F366">SUM((MMULT(ISNUMBER(SEARCH(TRANSPOSE(category!$D$2:$D$10), A366))*1, ROW(category!$D$2:$D$10)^0)&gt;0)*1)</f>
        <v>1</v>
      </c>
      <c r="G366" s="4" cm="1">
        <f t="array" ref="G366">SUM((MMULT(ISNUMBER(SEARCH(TRANSPOSE(category!$E$2:$E$8), A366))*1, ROW(category!$E$2:$E$8)^0)&gt;0)*1)</f>
        <v>0</v>
      </c>
      <c r="H366" s="4" cm="1">
        <f t="array" ref="H366">SUM((MMULT(ISNUMBER(SEARCH(TRANSPOSE(category!$F$2:$F$9), A366))*1, ROW(category!$F$2:$F$9)^0)&gt;0)*1)</f>
        <v>0</v>
      </c>
    </row>
    <row r="367" spans="1:8" x14ac:dyDescent="0.45">
      <c r="A367" t="s">
        <v>762</v>
      </c>
      <c r="B367" s="6">
        <f t="shared" si="5"/>
        <v>3</v>
      </c>
      <c r="C367" s="4" cm="1">
        <f t="array" ref="C367">SUM((MMULT(ISNUMBER(SEARCH(TRANSPOSE(category!$A$2:$A$11), A367))*1, ROW(category!$A$2:$A$11)^0)&gt;0)*1)</f>
        <v>0</v>
      </c>
      <c r="D367" s="4" cm="1">
        <f t="array" ref="D367">SUM((MMULT(ISNUMBER(SEARCH(TRANSPOSE(category!$B$2:$B$25), A367))*1, ROW(category!$B$2:$B$25)^0)&gt;0)*1)</f>
        <v>1</v>
      </c>
      <c r="E367" s="4" cm="1">
        <f t="array" ref="E367">SUM((MMULT(ISNUMBER(SEARCH(TRANSPOSE(category!$C$2:$C$4), A367))*1, ROW(category!$C$2:$C$4)^0)&gt;0)*1)</f>
        <v>0</v>
      </c>
      <c r="F367" s="4" cm="1">
        <f t="array" ref="F367">SUM((MMULT(ISNUMBER(SEARCH(TRANSPOSE(category!$D$2:$D$10), A367))*1, ROW(category!$D$2:$D$10)^0)&gt;0)*1)</f>
        <v>1</v>
      </c>
      <c r="G367" s="4" cm="1">
        <f t="array" ref="G367">SUM((MMULT(ISNUMBER(SEARCH(TRANSPOSE(category!$E$2:$E$8), A367))*1, ROW(category!$E$2:$E$8)^0)&gt;0)*1)</f>
        <v>0</v>
      </c>
      <c r="H367" s="4" cm="1">
        <f t="array" ref="H367">SUM((MMULT(ISNUMBER(SEARCH(TRANSPOSE(category!$F$2:$F$9), A367))*1, ROW(category!$F$2:$F$9)^0)&gt;0)*1)</f>
        <v>0</v>
      </c>
    </row>
    <row r="368" spans="1:8" x14ac:dyDescent="0.45">
      <c r="A368" t="s">
        <v>764</v>
      </c>
      <c r="B368" s="6">
        <f t="shared" si="5"/>
        <v>6</v>
      </c>
      <c r="C368" s="4" cm="1">
        <f t="array" ref="C368">SUM((MMULT(ISNUMBER(SEARCH(TRANSPOSE(category!$A$2:$A$11), A368))*1, ROW(category!$A$2:$A$11)^0)&gt;0)*1)</f>
        <v>0</v>
      </c>
      <c r="D368" s="4" cm="1">
        <f t="array" ref="D368">SUM((MMULT(ISNUMBER(SEARCH(TRANSPOSE(category!$B$2:$B$25), A368))*1, ROW(category!$B$2:$B$25)^0)&gt;0)*1)</f>
        <v>0</v>
      </c>
      <c r="E368" s="4" cm="1">
        <f t="array" ref="E368">SUM((MMULT(ISNUMBER(SEARCH(TRANSPOSE(category!$C$2:$C$4), A368))*1, ROW(category!$C$2:$C$4)^0)&gt;0)*1)</f>
        <v>1</v>
      </c>
      <c r="F368" s="4" cm="1">
        <f t="array" ref="F368">SUM((MMULT(ISNUMBER(SEARCH(TRANSPOSE(category!$D$2:$D$10), A368))*1, ROW(category!$D$2:$D$10)^0)&gt;0)*1)</f>
        <v>0</v>
      </c>
      <c r="G368" s="4" cm="1">
        <f t="array" ref="G368">SUM((MMULT(ISNUMBER(SEARCH(TRANSPOSE(category!$E$2:$E$8), A368))*1, ROW(category!$E$2:$E$8)^0)&gt;0)*1)</f>
        <v>0</v>
      </c>
      <c r="H368" s="4" cm="1">
        <f t="array" ref="H368">SUM((MMULT(ISNUMBER(SEARCH(TRANSPOSE(category!$F$2:$F$9), A368))*1, ROW(category!$F$2:$F$9)^0)&gt;0)*1)</f>
        <v>0</v>
      </c>
    </row>
    <row r="369" spans="1:8" x14ac:dyDescent="0.45">
      <c r="A369" t="s">
        <v>766</v>
      </c>
      <c r="B369" s="6">
        <f t="shared" si="5"/>
        <v>18</v>
      </c>
      <c r="C369" s="4" cm="1">
        <f t="array" ref="C369">SUM((MMULT(ISNUMBER(SEARCH(TRANSPOSE(category!$A$2:$A$11), A369))*1, ROW(category!$A$2:$A$11)^0)&gt;0)*1)</f>
        <v>0</v>
      </c>
      <c r="D369" s="4" cm="1">
        <f t="array" ref="D369">SUM((MMULT(ISNUMBER(SEARCH(TRANSPOSE(category!$B$2:$B$25), A369))*1, ROW(category!$B$2:$B$25)^0)&gt;0)*1)</f>
        <v>1</v>
      </c>
      <c r="E369" s="4" cm="1">
        <f t="array" ref="E369">SUM((MMULT(ISNUMBER(SEARCH(TRANSPOSE(category!$C$2:$C$4), A369))*1, ROW(category!$C$2:$C$4)^0)&gt;0)*1)</f>
        <v>0</v>
      </c>
      <c r="F369" s="4" cm="1">
        <f t="array" ref="F369">SUM((MMULT(ISNUMBER(SEARCH(TRANSPOSE(category!$D$2:$D$10), A369))*1, ROW(category!$D$2:$D$10)^0)&gt;0)*1)</f>
        <v>1</v>
      </c>
      <c r="G369" s="4" cm="1">
        <f t="array" ref="G369">SUM((MMULT(ISNUMBER(SEARCH(TRANSPOSE(category!$E$2:$E$8), A369))*1, ROW(category!$E$2:$E$8)^0)&gt;0)*1)</f>
        <v>0</v>
      </c>
      <c r="H369" s="4" cm="1">
        <f t="array" ref="H369">SUM((MMULT(ISNUMBER(SEARCH(TRANSPOSE(category!$F$2:$F$9), A369))*1, ROW(category!$F$2:$F$9)^0)&gt;0)*1)</f>
        <v>0</v>
      </c>
    </row>
    <row r="370" spans="1:8" x14ac:dyDescent="0.45">
      <c r="A370" t="s">
        <v>570</v>
      </c>
      <c r="B370" s="6">
        <f t="shared" si="5"/>
        <v>2</v>
      </c>
      <c r="C370" s="4" cm="1">
        <f t="array" ref="C370">SUM((MMULT(ISNUMBER(SEARCH(TRANSPOSE(category!$A$2:$A$11), A370))*1, ROW(category!$A$2:$A$11)^0)&gt;0)*1)</f>
        <v>0</v>
      </c>
      <c r="D370" s="4" cm="1">
        <f t="array" ref="D370">SUM((MMULT(ISNUMBER(SEARCH(TRANSPOSE(category!$B$2:$B$25), A370))*1, ROW(category!$B$2:$B$25)^0)&gt;0)*1)</f>
        <v>1</v>
      </c>
      <c r="E370" s="4" cm="1">
        <f t="array" ref="E370">SUM((MMULT(ISNUMBER(SEARCH(TRANSPOSE(category!$C$2:$C$4), A370))*1, ROW(category!$C$2:$C$4)^0)&gt;0)*1)</f>
        <v>0</v>
      </c>
      <c r="F370" s="4" cm="1">
        <f t="array" ref="F370">SUM((MMULT(ISNUMBER(SEARCH(TRANSPOSE(category!$D$2:$D$10), A370))*1, ROW(category!$D$2:$D$10)^0)&gt;0)*1)</f>
        <v>0</v>
      </c>
      <c r="G370" s="4" cm="1">
        <f t="array" ref="G370">SUM((MMULT(ISNUMBER(SEARCH(TRANSPOSE(category!$E$2:$E$8), A370))*1, ROW(category!$E$2:$E$8)^0)&gt;0)*1)</f>
        <v>0</v>
      </c>
      <c r="H370" s="4" cm="1">
        <f t="array" ref="H370">SUM((MMULT(ISNUMBER(SEARCH(TRANSPOSE(category!$F$2:$F$9), A370))*1, ROW(category!$F$2:$F$9)^0)&gt;0)*1)</f>
        <v>0</v>
      </c>
    </row>
    <row r="371" spans="1:8" x14ac:dyDescent="0.45">
      <c r="A371" t="s">
        <v>769</v>
      </c>
      <c r="B371" s="6">
        <f t="shared" si="5"/>
        <v>10</v>
      </c>
      <c r="C371" s="4" cm="1">
        <f t="array" ref="C371">SUM((MMULT(ISNUMBER(SEARCH(TRANSPOSE(category!$A$2:$A$11), A371))*1, ROW(category!$A$2:$A$11)^0)&gt;0)*1)</f>
        <v>0</v>
      </c>
      <c r="D371" s="4" cm="1">
        <f t="array" ref="D371">SUM((MMULT(ISNUMBER(SEARCH(TRANSPOSE(category!$B$2:$B$25), A371))*1, ROW(category!$B$2:$B$25)^0)&gt;0)*1)</f>
        <v>1</v>
      </c>
      <c r="E371" s="4" cm="1">
        <f t="array" ref="E371">SUM((MMULT(ISNUMBER(SEARCH(TRANSPOSE(category!$C$2:$C$4), A371))*1, ROW(category!$C$2:$C$4)^0)&gt;0)*1)</f>
        <v>0</v>
      </c>
      <c r="F371" s="4" cm="1">
        <f t="array" ref="F371">SUM((MMULT(ISNUMBER(SEARCH(TRANSPOSE(category!$D$2:$D$10), A371))*1, ROW(category!$D$2:$D$10)^0)&gt;0)*1)</f>
        <v>0</v>
      </c>
      <c r="G371" s="4" cm="1">
        <f t="array" ref="G371">SUM((MMULT(ISNUMBER(SEARCH(TRANSPOSE(category!$E$2:$E$8), A371))*1, ROW(category!$E$2:$E$8)^0)&gt;0)*1)</f>
        <v>0</v>
      </c>
      <c r="H371" s="4" cm="1">
        <f t="array" ref="H371">SUM((MMULT(ISNUMBER(SEARCH(TRANSPOSE(category!$F$2:$F$9), A371))*1, ROW(category!$F$2:$F$9)^0)&gt;0)*1)</f>
        <v>0</v>
      </c>
    </row>
    <row r="372" spans="1:8" x14ac:dyDescent="0.45">
      <c r="A372" t="s">
        <v>771</v>
      </c>
      <c r="B372" s="6">
        <f t="shared" si="5"/>
        <v>5</v>
      </c>
      <c r="C372" s="4" cm="1">
        <f t="array" ref="C372">SUM((MMULT(ISNUMBER(SEARCH(TRANSPOSE(category!$A$2:$A$11), A372))*1, ROW(category!$A$2:$A$11)^0)&gt;0)*1)</f>
        <v>0</v>
      </c>
      <c r="D372" s="4" cm="1">
        <f t="array" ref="D372">SUM((MMULT(ISNUMBER(SEARCH(TRANSPOSE(category!$B$2:$B$25), A372))*1, ROW(category!$B$2:$B$25)^0)&gt;0)*1)</f>
        <v>1</v>
      </c>
      <c r="E372" s="4" cm="1">
        <f t="array" ref="E372">SUM((MMULT(ISNUMBER(SEARCH(TRANSPOSE(category!$C$2:$C$4), A372))*1, ROW(category!$C$2:$C$4)^0)&gt;0)*1)</f>
        <v>0</v>
      </c>
      <c r="F372" s="4" cm="1">
        <f t="array" ref="F372">SUM((MMULT(ISNUMBER(SEARCH(TRANSPOSE(category!$D$2:$D$10), A372))*1, ROW(category!$D$2:$D$10)^0)&gt;0)*1)</f>
        <v>0</v>
      </c>
      <c r="G372" s="4" cm="1">
        <f t="array" ref="G372">SUM((MMULT(ISNUMBER(SEARCH(TRANSPOSE(category!$E$2:$E$8), A372))*1, ROW(category!$E$2:$E$8)^0)&gt;0)*1)</f>
        <v>0</v>
      </c>
      <c r="H372" s="4" cm="1">
        <f t="array" ref="H372">SUM((MMULT(ISNUMBER(SEARCH(TRANSPOSE(category!$F$2:$F$9), A372))*1, ROW(category!$F$2:$F$9)^0)&gt;0)*1)</f>
        <v>0</v>
      </c>
    </row>
    <row r="373" spans="1:8" x14ac:dyDescent="0.45">
      <c r="A373" t="s">
        <v>773</v>
      </c>
      <c r="B373" s="6">
        <f t="shared" si="5"/>
        <v>6</v>
      </c>
      <c r="C373" s="4" cm="1">
        <f t="array" ref="C373">SUM((MMULT(ISNUMBER(SEARCH(TRANSPOSE(category!$A$2:$A$11), A373))*1, ROW(category!$A$2:$A$11)^0)&gt;0)*1)</f>
        <v>0</v>
      </c>
      <c r="D373" s="4" cm="1">
        <f t="array" ref="D373">SUM((MMULT(ISNUMBER(SEARCH(TRANSPOSE(category!$B$2:$B$25), A373))*1, ROW(category!$B$2:$B$25)^0)&gt;0)*1)</f>
        <v>1</v>
      </c>
      <c r="E373" s="4" cm="1">
        <f t="array" ref="E373">SUM((MMULT(ISNUMBER(SEARCH(TRANSPOSE(category!$C$2:$C$4), A373))*1, ROW(category!$C$2:$C$4)^0)&gt;0)*1)</f>
        <v>1</v>
      </c>
      <c r="F373" s="4" cm="1">
        <f t="array" ref="F373">SUM((MMULT(ISNUMBER(SEARCH(TRANSPOSE(category!$D$2:$D$10), A373))*1, ROW(category!$D$2:$D$10)^0)&gt;0)*1)</f>
        <v>0</v>
      </c>
      <c r="G373" s="4" cm="1">
        <f t="array" ref="G373">SUM((MMULT(ISNUMBER(SEARCH(TRANSPOSE(category!$E$2:$E$8), A373))*1, ROW(category!$E$2:$E$8)^0)&gt;0)*1)</f>
        <v>0</v>
      </c>
      <c r="H373" s="4" cm="1">
        <f t="array" ref="H373">SUM((MMULT(ISNUMBER(SEARCH(TRANSPOSE(category!$F$2:$F$9), A373))*1, ROW(category!$F$2:$F$9)^0)&gt;0)*1)</f>
        <v>0</v>
      </c>
    </row>
    <row r="374" spans="1:8" x14ac:dyDescent="0.45">
      <c r="A374" t="s">
        <v>775</v>
      </c>
      <c r="B374" s="6">
        <f t="shared" si="5"/>
        <v>2</v>
      </c>
      <c r="C374" s="4" cm="1">
        <f t="array" ref="C374">SUM((MMULT(ISNUMBER(SEARCH(TRANSPOSE(category!$A$2:$A$11), A374))*1, ROW(category!$A$2:$A$11)^0)&gt;0)*1)</f>
        <v>0</v>
      </c>
      <c r="D374" s="4" cm="1">
        <f t="array" ref="D374">SUM((MMULT(ISNUMBER(SEARCH(TRANSPOSE(category!$B$2:$B$25), A374))*1, ROW(category!$B$2:$B$25)^0)&gt;0)*1)</f>
        <v>1</v>
      </c>
      <c r="E374" s="4" cm="1">
        <f t="array" ref="E374">SUM((MMULT(ISNUMBER(SEARCH(TRANSPOSE(category!$C$2:$C$4), A374))*1, ROW(category!$C$2:$C$4)^0)&gt;0)*1)</f>
        <v>0</v>
      </c>
      <c r="F374" s="4" cm="1">
        <f t="array" ref="F374">SUM((MMULT(ISNUMBER(SEARCH(TRANSPOSE(category!$D$2:$D$10), A374))*1, ROW(category!$D$2:$D$10)^0)&gt;0)*1)</f>
        <v>0</v>
      </c>
      <c r="G374" s="4" cm="1">
        <f t="array" ref="G374">SUM((MMULT(ISNUMBER(SEARCH(TRANSPOSE(category!$E$2:$E$8), A374))*1, ROW(category!$E$2:$E$8)^0)&gt;0)*1)</f>
        <v>0</v>
      </c>
      <c r="H374" s="4" cm="1">
        <f t="array" ref="H374">SUM((MMULT(ISNUMBER(SEARCH(TRANSPOSE(category!$F$2:$F$9), A374))*1, ROW(category!$F$2:$F$9)^0)&gt;0)*1)</f>
        <v>0</v>
      </c>
    </row>
    <row r="375" spans="1:8" x14ac:dyDescent="0.45">
      <c r="A375" t="s">
        <v>777</v>
      </c>
      <c r="B375" s="6">
        <f t="shared" si="5"/>
        <v>3</v>
      </c>
      <c r="C375" s="4" cm="1">
        <f t="array" ref="C375">SUM((MMULT(ISNUMBER(SEARCH(TRANSPOSE(category!$A$2:$A$11), A375))*1, ROW(category!$A$2:$A$11)^0)&gt;0)*1)</f>
        <v>0</v>
      </c>
      <c r="D375" s="4" cm="1">
        <f t="array" ref="D375">SUM((MMULT(ISNUMBER(SEARCH(TRANSPOSE(category!$B$2:$B$25), A375))*1, ROW(category!$B$2:$B$25)^0)&gt;0)*1)</f>
        <v>1</v>
      </c>
      <c r="E375" s="4" cm="1">
        <f t="array" ref="E375">SUM((MMULT(ISNUMBER(SEARCH(TRANSPOSE(category!$C$2:$C$4), A375))*1, ROW(category!$C$2:$C$4)^0)&gt;0)*1)</f>
        <v>0</v>
      </c>
      <c r="F375" s="4" cm="1">
        <f t="array" ref="F375">SUM((MMULT(ISNUMBER(SEARCH(TRANSPOSE(category!$D$2:$D$10), A375))*1, ROW(category!$D$2:$D$10)^0)&gt;0)*1)</f>
        <v>0</v>
      </c>
      <c r="G375" s="4" cm="1">
        <f t="array" ref="G375">SUM((MMULT(ISNUMBER(SEARCH(TRANSPOSE(category!$E$2:$E$8), A375))*1, ROW(category!$E$2:$E$8)^0)&gt;0)*1)</f>
        <v>0</v>
      </c>
      <c r="H375" s="4" cm="1">
        <f t="array" ref="H375">SUM((MMULT(ISNUMBER(SEARCH(TRANSPOSE(category!$F$2:$F$9), A375))*1, ROW(category!$F$2:$F$9)^0)&gt;0)*1)</f>
        <v>0</v>
      </c>
    </row>
    <row r="376" spans="1:8" x14ac:dyDescent="0.45">
      <c r="A376" t="s">
        <v>779</v>
      </c>
      <c r="B376" s="6">
        <f t="shared" si="5"/>
        <v>2</v>
      </c>
      <c r="C376" s="4" cm="1">
        <f t="array" ref="C376">SUM((MMULT(ISNUMBER(SEARCH(TRANSPOSE(category!$A$2:$A$11), A376))*1, ROW(category!$A$2:$A$11)^0)&gt;0)*1)</f>
        <v>0</v>
      </c>
      <c r="D376" s="4" cm="1">
        <f t="array" ref="D376">SUM((MMULT(ISNUMBER(SEARCH(TRANSPOSE(category!$B$2:$B$25), A376))*1, ROW(category!$B$2:$B$25)^0)&gt;0)*1)</f>
        <v>1</v>
      </c>
      <c r="E376" s="4" cm="1">
        <f t="array" ref="E376">SUM((MMULT(ISNUMBER(SEARCH(TRANSPOSE(category!$C$2:$C$4), A376))*1, ROW(category!$C$2:$C$4)^0)&gt;0)*1)</f>
        <v>0</v>
      </c>
      <c r="F376" s="4" cm="1">
        <f t="array" ref="F376">SUM((MMULT(ISNUMBER(SEARCH(TRANSPOSE(category!$D$2:$D$10), A376))*1, ROW(category!$D$2:$D$10)^0)&gt;0)*1)</f>
        <v>0</v>
      </c>
      <c r="G376" s="4" cm="1">
        <f t="array" ref="G376">SUM((MMULT(ISNUMBER(SEARCH(TRANSPOSE(category!$E$2:$E$8), A376))*1, ROW(category!$E$2:$E$8)^0)&gt;0)*1)</f>
        <v>0</v>
      </c>
      <c r="H376" s="4" cm="1">
        <f t="array" ref="H376">SUM((MMULT(ISNUMBER(SEARCH(TRANSPOSE(category!$F$2:$F$9), A376))*1, ROW(category!$F$2:$F$9)^0)&gt;0)*1)</f>
        <v>0</v>
      </c>
    </row>
    <row r="377" spans="1:8" x14ac:dyDescent="0.45">
      <c r="A377" t="s">
        <v>782</v>
      </c>
      <c r="B377" s="6">
        <f t="shared" si="5"/>
        <v>14</v>
      </c>
      <c r="C377" s="4" cm="1">
        <f t="array" ref="C377">SUM((MMULT(ISNUMBER(SEARCH(TRANSPOSE(category!$A$2:$A$11), A377))*1, ROW(category!$A$2:$A$11)^0)&gt;0)*1)</f>
        <v>0</v>
      </c>
      <c r="D377" s="4" cm="1">
        <f t="array" ref="D377">SUM((MMULT(ISNUMBER(SEARCH(TRANSPOSE(category!$B$2:$B$25), A377))*1, ROW(category!$B$2:$B$25)^0)&gt;0)*1)</f>
        <v>1</v>
      </c>
      <c r="E377" s="4" cm="1">
        <f t="array" ref="E377">SUM((MMULT(ISNUMBER(SEARCH(TRANSPOSE(category!$C$2:$C$4), A377))*1, ROW(category!$C$2:$C$4)^0)&gt;0)*1)</f>
        <v>0</v>
      </c>
      <c r="F377" s="4" cm="1">
        <f t="array" ref="F377">SUM((MMULT(ISNUMBER(SEARCH(TRANSPOSE(category!$D$2:$D$10), A377))*1, ROW(category!$D$2:$D$10)^0)&gt;0)*1)</f>
        <v>0</v>
      </c>
      <c r="G377" s="4" cm="1">
        <f t="array" ref="G377">SUM((MMULT(ISNUMBER(SEARCH(TRANSPOSE(category!$E$2:$E$8), A377))*1, ROW(category!$E$2:$E$8)^0)&gt;0)*1)</f>
        <v>0</v>
      </c>
      <c r="H377" s="4" cm="1">
        <f t="array" ref="H377">SUM((MMULT(ISNUMBER(SEARCH(TRANSPOSE(category!$F$2:$F$9), A377))*1, ROW(category!$F$2:$F$9)^0)&gt;0)*1)</f>
        <v>0</v>
      </c>
    </row>
    <row r="378" spans="1:8" x14ac:dyDescent="0.45">
      <c r="A378" t="s">
        <v>784</v>
      </c>
      <c r="B378" s="6">
        <f t="shared" si="5"/>
        <v>12</v>
      </c>
      <c r="C378" s="4" cm="1">
        <f t="array" ref="C378">SUM((MMULT(ISNUMBER(SEARCH(TRANSPOSE(category!$A$2:$A$11), A378))*1, ROW(category!$A$2:$A$11)^0)&gt;0)*1)</f>
        <v>0</v>
      </c>
      <c r="D378" s="4" cm="1">
        <f t="array" ref="D378">SUM((MMULT(ISNUMBER(SEARCH(TRANSPOSE(category!$B$2:$B$25), A378))*1, ROW(category!$B$2:$B$25)^0)&gt;0)*1)</f>
        <v>0</v>
      </c>
      <c r="E378" s="4" cm="1">
        <f t="array" ref="E378">SUM((MMULT(ISNUMBER(SEARCH(TRANSPOSE(category!$C$2:$C$4), A378))*1, ROW(category!$C$2:$C$4)^0)&gt;0)*1)</f>
        <v>0</v>
      </c>
      <c r="F378" s="4" cm="1">
        <f t="array" ref="F378">SUM((MMULT(ISNUMBER(SEARCH(TRANSPOSE(category!$D$2:$D$10), A378))*1, ROW(category!$D$2:$D$10)^0)&gt;0)*1)</f>
        <v>1</v>
      </c>
      <c r="G378" s="4" cm="1">
        <f t="array" ref="G378">SUM((MMULT(ISNUMBER(SEARCH(TRANSPOSE(category!$E$2:$E$8), A378))*1, ROW(category!$E$2:$E$8)^0)&gt;0)*1)</f>
        <v>0</v>
      </c>
      <c r="H378" s="4" cm="1">
        <f t="array" ref="H378">SUM((MMULT(ISNUMBER(SEARCH(TRANSPOSE(category!$F$2:$F$9), A378))*1, ROW(category!$F$2:$F$9)^0)&gt;0)*1)</f>
        <v>0</v>
      </c>
    </row>
    <row r="379" spans="1:8" x14ac:dyDescent="0.45">
      <c r="A379" t="s">
        <v>786</v>
      </c>
      <c r="B379" s="6">
        <f t="shared" si="5"/>
        <v>6</v>
      </c>
      <c r="C379" s="4" cm="1">
        <f t="array" ref="C379">SUM((MMULT(ISNUMBER(SEARCH(TRANSPOSE(category!$A$2:$A$11), A379))*1, ROW(category!$A$2:$A$11)^0)&gt;0)*1)</f>
        <v>0</v>
      </c>
      <c r="D379" s="4" cm="1">
        <f t="array" ref="D379">SUM((MMULT(ISNUMBER(SEARCH(TRANSPOSE(category!$B$2:$B$25), A379))*1, ROW(category!$B$2:$B$25)^0)&gt;0)*1)</f>
        <v>1</v>
      </c>
      <c r="E379" s="4" cm="1">
        <f t="array" ref="E379">SUM((MMULT(ISNUMBER(SEARCH(TRANSPOSE(category!$C$2:$C$4), A379))*1, ROW(category!$C$2:$C$4)^0)&gt;0)*1)</f>
        <v>0</v>
      </c>
      <c r="F379" s="4" cm="1">
        <f t="array" ref="F379">SUM((MMULT(ISNUMBER(SEARCH(TRANSPOSE(category!$D$2:$D$10), A379))*1, ROW(category!$D$2:$D$10)^0)&gt;0)*1)</f>
        <v>0</v>
      </c>
      <c r="G379" s="4" cm="1">
        <f t="array" ref="G379">SUM((MMULT(ISNUMBER(SEARCH(TRANSPOSE(category!$E$2:$E$8), A379))*1, ROW(category!$E$2:$E$8)^0)&gt;0)*1)</f>
        <v>0</v>
      </c>
      <c r="H379" s="4" cm="1">
        <f t="array" ref="H379">SUM((MMULT(ISNUMBER(SEARCH(TRANSPOSE(category!$F$2:$F$9), A379))*1, ROW(category!$F$2:$F$9)^0)&gt;0)*1)</f>
        <v>0</v>
      </c>
    </row>
    <row r="380" spans="1:8" x14ac:dyDescent="0.45">
      <c r="A380" t="s">
        <v>788</v>
      </c>
      <c r="B380" s="6">
        <f t="shared" si="5"/>
        <v>16</v>
      </c>
      <c r="C380" s="4" cm="1">
        <f t="array" ref="C380">SUM((MMULT(ISNUMBER(SEARCH(TRANSPOSE(category!$A$2:$A$11), A380))*1, ROW(category!$A$2:$A$11)^0)&gt;0)*1)</f>
        <v>0</v>
      </c>
      <c r="D380" s="4" cm="1">
        <f t="array" ref="D380">SUM((MMULT(ISNUMBER(SEARCH(TRANSPOSE(category!$B$2:$B$25), A380))*1, ROW(category!$B$2:$B$25)^0)&gt;0)*1)</f>
        <v>1</v>
      </c>
      <c r="E380" s="4" cm="1">
        <f t="array" ref="E380">SUM((MMULT(ISNUMBER(SEARCH(TRANSPOSE(category!$C$2:$C$4), A380))*1, ROW(category!$C$2:$C$4)^0)&gt;0)*1)</f>
        <v>0</v>
      </c>
      <c r="F380" s="4" cm="1">
        <f t="array" ref="F380">SUM((MMULT(ISNUMBER(SEARCH(TRANSPOSE(category!$D$2:$D$10), A380))*1, ROW(category!$D$2:$D$10)^0)&gt;0)*1)</f>
        <v>0</v>
      </c>
      <c r="G380" s="4" cm="1">
        <f t="array" ref="G380">SUM((MMULT(ISNUMBER(SEARCH(TRANSPOSE(category!$E$2:$E$8), A380))*1, ROW(category!$E$2:$E$8)^0)&gt;0)*1)</f>
        <v>0</v>
      </c>
      <c r="H380" s="4" cm="1">
        <f t="array" ref="H380">SUM((MMULT(ISNUMBER(SEARCH(TRANSPOSE(category!$F$2:$F$9), A380))*1, ROW(category!$F$2:$F$9)^0)&gt;0)*1)</f>
        <v>0</v>
      </c>
    </row>
    <row r="381" spans="1:8" x14ac:dyDescent="0.45">
      <c r="A381" t="s">
        <v>790</v>
      </c>
      <c r="B381" s="6">
        <f t="shared" si="5"/>
        <v>19</v>
      </c>
      <c r="C381" s="4" cm="1">
        <f t="array" ref="C381">SUM((MMULT(ISNUMBER(SEARCH(TRANSPOSE(category!$A$2:$A$11), A381))*1, ROW(category!$A$2:$A$11)^0)&gt;0)*1)</f>
        <v>0</v>
      </c>
      <c r="D381" s="4" cm="1">
        <f t="array" ref="D381">SUM((MMULT(ISNUMBER(SEARCH(TRANSPOSE(category!$B$2:$B$25), A381))*1, ROW(category!$B$2:$B$25)^0)&gt;0)*1)</f>
        <v>1</v>
      </c>
      <c r="E381" s="4" cm="1">
        <f t="array" ref="E381">SUM((MMULT(ISNUMBER(SEARCH(TRANSPOSE(category!$C$2:$C$4), A381))*1, ROW(category!$C$2:$C$4)^0)&gt;0)*1)</f>
        <v>0</v>
      </c>
      <c r="F381" s="4" cm="1">
        <f t="array" ref="F381">SUM((MMULT(ISNUMBER(SEARCH(TRANSPOSE(category!$D$2:$D$10), A381))*1, ROW(category!$D$2:$D$10)^0)&gt;0)*1)</f>
        <v>0</v>
      </c>
      <c r="G381" s="4" cm="1">
        <f t="array" ref="G381">SUM((MMULT(ISNUMBER(SEARCH(TRANSPOSE(category!$E$2:$E$8), A381))*1, ROW(category!$E$2:$E$8)^0)&gt;0)*1)</f>
        <v>0</v>
      </c>
      <c r="H381" s="4" cm="1">
        <f t="array" ref="H381">SUM((MMULT(ISNUMBER(SEARCH(TRANSPOSE(category!$F$2:$F$9), A381))*1, ROW(category!$F$2:$F$9)^0)&gt;0)*1)</f>
        <v>0</v>
      </c>
    </row>
    <row r="382" spans="1:8" x14ac:dyDescent="0.45">
      <c r="A382" t="s">
        <v>792</v>
      </c>
      <c r="B382" s="6">
        <f t="shared" si="5"/>
        <v>17</v>
      </c>
      <c r="C382" s="4" cm="1">
        <f t="array" ref="C382">SUM((MMULT(ISNUMBER(SEARCH(TRANSPOSE(category!$A$2:$A$11), A382))*1, ROW(category!$A$2:$A$11)^0)&gt;0)*1)</f>
        <v>0</v>
      </c>
      <c r="D382" s="4" cm="1">
        <f t="array" ref="D382">SUM((MMULT(ISNUMBER(SEARCH(TRANSPOSE(category!$B$2:$B$25), A382))*1, ROW(category!$B$2:$B$25)^0)&gt;0)*1)</f>
        <v>1</v>
      </c>
      <c r="E382" s="4" cm="1">
        <f t="array" ref="E382">SUM((MMULT(ISNUMBER(SEARCH(TRANSPOSE(category!$C$2:$C$4), A382))*1, ROW(category!$C$2:$C$4)^0)&gt;0)*1)</f>
        <v>0</v>
      </c>
      <c r="F382" s="4" cm="1">
        <f t="array" ref="F382">SUM((MMULT(ISNUMBER(SEARCH(TRANSPOSE(category!$D$2:$D$10), A382))*1, ROW(category!$D$2:$D$10)^0)&gt;0)*1)</f>
        <v>1</v>
      </c>
      <c r="G382" s="4" cm="1">
        <f t="array" ref="G382">SUM((MMULT(ISNUMBER(SEARCH(TRANSPOSE(category!$E$2:$E$8), A382))*1, ROW(category!$E$2:$E$8)^0)&gt;0)*1)</f>
        <v>0</v>
      </c>
      <c r="H382" s="4" cm="1">
        <f t="array" ref="H382">SUM((MMULT(ISNUMBER(SEARCH(TRANSPOSE(category!$F$2:$F$9), A382))*1, ROW(category!$F$2:$F$9)^0)&gt;0)*1)</f>
        <v>1</v>
      </c>
    </row>
    <row r="383" spans="1:8" x14ac:dyDescent="0.45">
      <c r="A383" t="s">
        <v>794</v>
      </c>
      <c r="B383" s="6">
        <f t="shared" si="5"/>
        <v>14</v>
      </c>
      <c r="C383" s="4" cm="1">
        <f t="array" ref="C383">SUM((MMULT(ISNUMBER(SEARCH(TRANSPOSE(category!$A$2:$A$11), A383))*1, ROW(category!$A$2:$A$11)^0)&gt;0)*1)</f>
        <v>0</v>
      </c>
      <c r="D383" s="4" cm="1">
        <f t="array" ref="D383">SUM((MMULT(ISNUMBER(SEARCH(TRANSPOSE(category!$B$2:$B$25), A383))*1, ROW(category!$B$2:$B$25)^0)&gt;0)*1)</f>
        <v>1</v>
      </c>
      <c r="E383" s="4" cm="1">
        <f t="array" ref="E383">SUM((MMULT(ISNUMBER(SEARCH(TRANSPOSE(category!$C$2:$C$4), A383))*1, ROW(category!$C$2:$C$4)^0)&gt;0)*1)</f>
        <v>0</v>
      </c>
      <c r="F383" s="4" cm="1">
        <f t="array" ref="F383">SUM((MMULT(ISNUMBER(SEARCH(TRANSPOSE(category!$D$2:$D$10), A383))*1, ROW(category!$D$2:$D$10)^0)&gt;0)*1)</f>
        <v>0</v>
      </c>
      <c r="G383" s="4" cm="1">
        <f t="array" ref="G383">SUM((MMULT(ISNUMBER(SEARCH(TRANSPOSE(category!$E$2:$E$8), A383))*1, ROW(category!$E$2:$E$8)^0)&gt;0)*1)</f>
        <v>0</v>
      </c>
      <c r="H383" s="4" cm="1">
        <f t="array" ref="H383">SUM((MMULT(ISNUMBER(SEARCH(TRANSPOSE(category!$F$2:$F$9), A383))*1, ROW(category!$F$2:$F$9)^0)&gt;0)*1)</f>
        <v>0</v>
      </c>
    </row>
    <row r="384" spans="1:8" x14ac:dyDescent="0.45">
      <c r="A384" t="s">
        <v>796</v>
      </c>
      <c r="B384" s="6">
        <f t="shared" si="5"/>
        <v>26</v>
      </c>
      <c r="C384" s="4" cm="1">
        <f t="array" ref="C384">SUM((MMULT(ISNUMBER(SEARCH(TRANSPOSE(category!$A$2:$A$11), A384))*1, ROW(category!$A$2:$A$11)^0)&gt;0)*1)</f>
        <v>1</v>
      </c>
      <c r="D384" s="4" cm="1">
        <f t="array" ref="D384">SUM((MMULT(ISNUMBER(SEARCH(TRANSPOSE(category!$B$2:$B$25), A384))*1, ROW(category!$B$2:$B$25)^0)&gt;0)*1)</f>
        <v>1</v>
      </c>
      <c r="E384" s="4" cm="1">
        <f t="array" ref="E384">SUM((MMULT(ISNUMBER(SEARCH(TRANSPOSE(category!$C$2:$C$4), A384))*1, ROW(category!$C$2:$C$4)^0)&gt;0)*1)</f>
        <v>0</v>
      </c>
      <c r="F384" s="4" cm="1">
        <f t="array" ref="F384">SUM((MMULT(ISNUMBER(SEARCH(TRANSPOSE(category!$D$2:$D$10), A384))*1, ROW(category!$D$2:$D$10)^0)&gt;0)*1)</f>
        <v>1</v>
      </c>
      <c r="G384" s="4" cm="1">
        <f t="array" ref="G384">SUM((MMULT(ISNUMBER(SEARCH(TRANSPOSE(category!$E$2:$E$8), A384))*1, ROW(category!$E$2:$E$8)^0)&gt;0)*1)</f>
        <v>0</v>
      </c>
      <c r="H384" s="4" cm="1">
        <f t="array" ref="H384">SUM((MMULT(ISNUMBER(SEARCH(TRANSPOSE(category!$F$2:$F$9), A384))*1, ROW(category!$F$2:$F$9)^0)&gt;0)*1)</f>
        <v>1</v>
      </c>
    </row>
    <row r="385" spans="1:8" x14ac:dyDescent="0.45">
      <c r="A385" t="s">
        <v>798</v>
      </c>
      <c r="B385" s="6">
        <f t="shared" si="5"/>
        <v>18</v>
      </c>
      <c r="C385" s="4" cm="1">
        <f t="array" ref="C385">SUM((MMULT(ISNUMBER(SEARCH(TRANSPOSE(category!$A$2:$A$11), A385))*1, ROW(category!$A$2:$A$11)^0)&gt;0)*1)</f>
        <v>0</v>
      </c>
      <c r="D385" s="4" cm="1">
        <f t="array" ref="D385">SUM((MMULT(ISNUMBER(SEARCH(TRANSPOSE(category!$B$2:$B$25), A385))*1, ROW(category!$B$2:$B$25)^0)&gt;0)*1)</f>
        <v>1</v>
      </c>
      <c r="E385" s="4" cm="1">
        <f t="array" ref="E385">SUM((MMULT(ISNUMBER(SEARCH(TRANSPOSE(category!$C$2:$C$4), A385))*1, ROW(category!$C$2:$C$4)^0)&gt;0)*1)</f>
        <v>0</v>
      </c>
      <c r="F385" s="4" cm="1">
        <f t="array" ref="F385">SUM((MMULT(ISNUMBER(SEARCH(TRANSPOSE(category!$D$2:$D$10), A385))*1, ROW(category!$D$2:$D$10)^0)&gt;0)*1)</f>
        <v>0</v>
      </c>
      <c r="G385" s="4" cm="1">
        <f t="array" ref="G385">SUM((MMULT(ISNUMBER(SEARCH(TRANSPOSE(category!$E$2:$E$8), A385))*1, ROW(category!$E$2:$E$8)^0)&gt;0)*1)</f>
        <v>0</v>
      </c>
      <c r="H385" s="4" cm="1">
        <f t="array" ref="H385">SUM((MMULT(ISNUMBER(SEARCH(TRANSPOSE(category!$F$2:$F$9), A385))*1, ROW(category!$F$2:$F$9)^0)&gt;0)*1)</f>
        <v>0</v>
      </c>
    </row>
    <row r="386" spans="1:8" x14ac:dyDescent="0.45">
      <c r="A386" t="s">
        <v>800</v>
      </c>
      <c r="B386" s="6">
        <f t="shared" si="5"/>
        <v>12</v>
      </c>
      <c r="C386" s="4" cm="1">
        <f t="array" ref="C386">SUM((MMULT(ISNUMBER(SEARCH(TRANSPOSE(category!$A$2:$A$11), A386))*1, ROW(category!$A$2:$A$11)^0)&gt;0)*1)</f>
        <v>0</v>
      </c>
      <c r="D386" s="4" cm="1">
        <f t="array" ref="D386">SUM((MMULT(ISNUMBER(SEARCH(TRANSPOSE(category!$B$2:$B$25), A386))*1, ROW(category!$B$2:$B$25)^0)&gt;0)*1)</f>
        <v>1</v>
      </c>
      <c r="E386" s="4" cm="1">
        <f t="array" ref="E386">SUM((MMULT(ISNUMBER(SEARCH(TRANSPOSE(category!$C$2:$C$4), A386))*1, ROW(category!$C$2:$C$4)^0)&gt;0)*1)</f>
        <v>0</v>
      </c>
      <c r="F386" s="4" cm="1">
        <f t="array" ref="F386">SUM((MMULT(ISNUMBER(SEARCH(TRANSPOSE(category!$D$2:$D$10), A386))*1, ROW(category!$D$2:$D$10)^0)&gt;0)*1)</f>
        <v>1</v>
      </c>
      <c r="G386" s="4" cm="1">
        <f t="array" ref="G386">SUM((MMULT(ISNUMBER(SEARCH(TRANSPOSE(category!$E$2:$E$8), A386))*1, ROW(category!$E$2:$E$8)^0)&gt;0)*1)</f>
        <v>0</v>
      </c>
      <c r="H386" s="4" cm="1">
        <f t="array" ref="H386">SUM((MMULT(ISNUMBER(SEARCH(TRANSPOSE(category!$F$2:$F$9), A386))*1, ROW(category!$F$2:$F$9)^0)&gt;0)*1)</f>
        <v>0</v>
      </c>
    </row>
    <row r="387" spans="1:8" x14ac:dyDescent="0.45">
      <c r="A387" t="s">
        <v>802</v>
      </c>
      <c r="B387" s="6">
        <f t="shared" ref="B387:B450" si="6">LEN(A387)-LEN(SUBSTITUTE(A387," ",""))+1</f>
        <v>15</v>
      </c>
      <c r="C387" s="4" cm="1">
        <f t="array" ref="C387">SUM((MMULT(ISNUMBER(SEARCH(TRANSPOSE(category!$A$2:$A$11), A387))*1, ROW(category!$A$2:$A$11)^0)&gt;0)*1)</f>
        <v>0</v>
      </c>
      <c r="D387" s="4" cm="1">
        <f t="array" ref="D387">SUM((MMULT(ISNUMBER(SEARCH(TRANSPOSE(category!$B$2:$B$25), A387))*1, ROW(category!$B$2:$B$25)^0)&gt;0)*1)</f>
        <v>1</v>
      </c>
      <c r="E387" s="4" cm="1">
        <f t="array" ref="E387">SUM((MMULT(ISNUMBER(SEARCH(TRANSPOSE(category!$C$2:$C$4), A387))*1, ROW(category!$C$2:$C$4)^0)&gt;0)*1)</f>
        <v>0</v>
      </c>
      <c r="F387" s="4" cm="1">
        <f t="array" ref="F387">SUM((MMULT(ISNUMBER(SEARCH(TRANSPOSE(category!$D$2:$D$10), A387))*1, ROW(category!$D$2:$D$10)^0)&gt;0)*1)</f>
        <v>1</v>
      </c>
      <c r="G387" s="4" cm="1">
        <f t="array" ref="G387">SUM((MMULT(ISNUMBER(SEARCH(TRANSPOSE(category!$E$2:$E$8), A387))*1, ROW(category!$E$2:$E$8)^0)&gt;0)*1)</f>
        <v>0</v>
      </c>
      <c r="H387" s="4" cm="1">
        <f t="array" ref="H387">SUM((MMULT(ISNUMBER(SEARCH(TRANSPOSE(category!$F$2:$F$9), A387))*1, ROW(category!$F$2:$F$9)^0)&gt;0)*1)</f>
        <v>0</v>
      </c>
    </row>
    <row r="388" spans="1:8" x14ac:dyDescent="0.45">
      <c r="A388" t="s">
        <v>804</v>
      </c>
      <c r="B388" s="6">
        <f t="shared" si="6"/>
        <v>10</v>
      </c>
      <c r="C388" s="4" cm="1">
        <f t="array" ref="C388">SUM((MMULT(ISNUMBER(SEARCH(TRANSPOSE(category!$A$2:$A$11), A388))*1, ROW(category!$A$2:$A$11)^0)&gt;0)*1)</f>
        <v>0</v>
      </c>
      <c r="D388" s="4" cm="1">
        <f t="array" ref="D388">SUM((MMULT(ISNUMBER(SEARCH(TRANSPOSE(category!$B$2:$B$25), A388))*1, ROW(category!$B$2:$B$25)^0)&gt;0)*1)</f>
        <v>0</v>
      </c>
      <c r="E388" s="4" cm="1">
        <f t="array" ref="E388">SUM((MMULT(ISNUMBER(SEARCH(TRANSPOSE(category!$C$2:$C$4), A388))*1, ROW(category!$C$2:$C$4)^0)&gt;0)*1)</f>
        <v>0</v>
      </c>
      <c r="F388" s="4" cm="1">
        <f t="array" ref="F388">SUM((MMULT(ISNUMBER(SEARCH(TRANSPOSE(category!$D$2:$D$10), A388))*1, ROW(category!$D$2:$D$10)^0)&gt;0)*1)</f>
        <v>1</v>
      </c>
      <c r="G388" s="4" cm="1">
        <f t="array" ref="G388">SUM((MMULT(ISNUMBER(SEARCH(TRANSPOSE(category!$E$2:$E$8), A388))*1, ROW(category!$E$2:$E$8)^0)&gt;0)*1)</f>
        <v>0</v>
      </c>
      <c r="H388" s="4" cm="1">
        <f t="array" ref="H388">SUM((MMULT(ISNUMBER(SEARCH(TRANSPOSE(category!$F$2:$F$9), A388))*1, ROW(category!$F$2:$F$9)^0)&gt;0)*1)</f>
        <v>0</v>
      </c>
    </row>
    <row r="389" spans="1:8" x14ac:dyDescent="0.45">
      <c r="A389" t="s">
        <v>806</v>
      </c>
      <c r="B389" s="6">
        <f t="shared" si="6"/>
        <v>2</v>
      </c>
      <c r="C389" s="4" cm="1">
        <f t="array" ref="C389">SUM((MMULT(ISNUMBER(SEARCH(TRANSPOSE(category!$A$2:$A$11), A389))*1, ROW(category!$A$2:$A$11)^0)&gt;0)*1)</f>
        <v>0</v>
      </c>
      <c r="D389" s="4" cm="1">
        <f t="array" ref="D389">SUM((MMULT(ISNUMBER(SEARCH(TRANSPOSE(category!$B$2:$B$25), A389))*1, ROW(category!$B$2:$B$25)^0)&gt;0)*1)</f>
        <v>1</v>
      </c>
      <c r="E389" s="4" cm="1">
        <f t="array" ref="E389">SUM((MMULT(ISNUMBER(SEARCH(TRANSPOSE(category!$C$2:$C$4), A389))*1, ROW(category!$C$2:$C$4)^0)&gt;0)*1)</f>
        <v>0</v>
      </c>
      <c r="F389" s="4" cm="1">
        <f t="array" ref="F389">SUM((MMULT(ISNUMBER(SEARCH(TRANSPOSE(category!$D$2:$D$10), A389))*1, ROW(category!$D$2:$D$10)^0)&gt;0)*1)</f>
        <v>0</v>
      </c>
      <c r="G389" s="4" cm="1">
        <f t="array" ref="G389">SUM((MMULT(ISNUMBER(SEARCH(TRANSPOSE(category!$E$2:$E$8), A389))*1, ROW(category!$E$2:$E$8)^0)&gt;0)*1)</f>
        <v>0</v>
      </c>
      <c r="H389" s="4" cm="1">
        <f t="array" ref="H389">SUM((MMULT(ISNUMBER(SEARCH(TRANSPOSE(category!$F$2:$F$9), A389))*1, ROW(category!$F$2:$F$9)^0)&gt;0)*1)</f>
        <v>0</v>
      </c>
    </row>
    <row r="390" spans="1:8" x14ac:dyDescent="0.45">
      <c r="A390" t="s">
        <v>808</v>
      </c>
      <c r="B390" s="6">
        <f t="shared" si="6"/>
        <v>2</v>
      </c>
      <c r="C390" s="4" cm="1">
        <f t="array" ref="C390">SUM((MMULT(ISNUMBER(SEARCH(TRANSPOSE(category!$A$2:$A$11), A390))*1, ROW(category!$A$2:$A$11)^0)&gt;0)*1)</f>
        <v>0</v>
      </c>
      <c r="D390" s="4" cm="1">
        <f t="array" ref="D390">SUM((MMULT(ISNUMBER(SEARCH(TRANSPOSE(category!$B$2:$B$25), A390))*1, ROW(category!$B$2:$B$25)^0)&gt;0)*1)</f>
        <v>1</v>
      </c>
      <c r="E390" s="4" cm="1">
        <f t="array" ref="E390">SUM((MMULT(ISNUMBER(SEARCH(TRANSPOSE(category!$C$2:$C$4), A390))*1, ROW(category!$C$2:$C$4)^0)&gt;0)*1)</f>
        <v>0</v>
      </c>
      <c r="F390" s="4" cm="1">
        <f t="array" ref="F390">SUM((MMULT(ISNUMBER(SEARCH(TRANSPOSE(category!$D$2:$D$10), A390))*1, ROW(category!$D$2:$D$10)^0)&gt;0)*1)</f>
        <v>0</v>
      </c>
      <c r="G390" s="4" cm="1">
        <f t="array" ref="G390">SUM((MMULT(ISNUMBER(SEARCH(TRANSPOSE(category!$E$2:$E$8), A390))*1, ROW(category!$E$2:$E$8)^0)&gt;0)*1)</f>
        <v>0</v>
      </c>
      <c r="H390" s="4" cm="1">
        <f t="array" ref="H390">SUM((MMULT(ISNUMBER(SEARCH(TRANSPOSE(category!$F$2:$F$9), A390))*1, ROW(category!$F$2:$F$9)^0)&gt;0)*1)</f>
        <v>0</v>
      </c>
    </row>
    <row r="391" spans="1:8" x14ac:dyDescent="0.45">
      <c r="A391" t="s">
        <v>810</v>
      </c>
      <c r="B391" s="6">
        <f t="shared" si="6"/>
        <v>10</v>
      </c>
      <c r="C391" s="4" cm="1">
        <f t="array" ref="C391">SUM((MMULT(ISNUMBER(SEARCH(TRANSPOSE(category!$A$2:$A$11), A391))*1, ROW(category!$A$2:$A$11)^0)&gt;0)*1)</f>
        <v>0</v>
      </c>
      <c r="D391" s="4" cm="1">
        <f t="array" ref="D391">SUM((MMULT(ISNUMBER(SEARCH(TRANSPOSE(category!$B$2:$B$25), A391))*1, ROW(category!$B$2:$B$25)^0)&gt;0)*1)</f>
        <v>1</v>
      </c>
      <c r="E391" s="4" cm="1">
        <f t="array" ref="E391">SUM((MMULT(ISNUMBER(SEARCH(TRANSPOSE(category!$C$2:$C$4), A391))*1, ROW(category!$C$2:$C$4)^0)&gt;0)*1)</f>
        <v>0</v>
      </c>
      <c r="F391" s="4" cm="1">
        <f t="array" ref="F391">SUM((MMULT(ISNUMBER(SEARCH(TRANSPOSE(category!$D$2:$D$10), A391))*1, ROW(category!$D$2:$D$10)^0)&gt;0)*1)</f>
        <v>0</v>
      </c>
      <c r="G391" s="4" cm="1">
        <f t="array" ref="G391">SUM((MMULT(ISNUMBER(SEARCH(TRANSPOSE(category!$E$2:$E$8), A391))*1, ROW(category!$E$2:$E$8)^0)&gt;0)*1)</f>
        <v>0</v>
      </c>
      <c r="H391" s="4" cm="1">
        <f t="array" ref="H391">SUM((MMULT(ISNUMBER(SEARCH(TRANSPOSE(category!$F$2:$F$9), A391))*1, ROW(category!$F$2:$F$9)^0)&gt;0)*1)</f>
        <v>0</v>
      </c>
    </row>
    <row r="392" spans="1:8" x14ac:dyDescent="0.45">
      <c r="A392" t="s">
        <v>812</v>
      </c>
      <c r="B392" s="6">
        <f t="shared" si="6"/>
        <v>8</v>
      </c>
      <c r="C392" s="4" cm="1">
        <f t="array" ref="C392">SUM((MMULT(ISNUMBER(SEARCH(TRANSPOSE(category!$A$2:$A$11), A392))*1, ROW(category!$A$2:$A$11)^0)&gt;0)*1)</f>
        <v>0</v>
      </c>
      <c r="D392" s="4" cm="1">
        <f t="array" ref="D392">SUM((MMULT(ISNUMBER(SEARCH(TRANSPOSE(category!$B$2:$B$25), A392))*1, ROW(category!$B$2:$B$25)^0)&gt;0)*1)</f>
        <v>1</v>
      </c>
      <c r="E392" s="4" cm="1">
        <f t="array" ref="E392">SUM((MMULT(ISNUMBER(SEARCH(TRANSPOSE(category!$C$2:$C$4), A392))*1, ROW(category!$C$2:$C$4)^0)&gt;0)*1)</f>
        <v>0</v>
      </c>
      <c r="F392" s="4" cm="1">
        <f t="array" ref="F392">SUM((MMULT(ISNUMBER(SEARCH(TRANSPOSE(category!$D$2:$D$10), A392))*1, ROW(category!$D$2:$D$10)^0)&gt;0)*1)</f>
        <v>0</v>
      </c>
      <c r="G392" s="4" cm="1">
        <f t="array" ref="G392">SUM((MMULT(ISNUMBER(SEARCH(TRANSPOSE(category!$E$2:$E$8), A392))*1, ROW(category!$E$2:$E$8)^0)&gt;0)*1)</f>
        <v>0</v>
      </c>
      <c r="H392" s="4" cm="1">
        <f t="array" ref="H392">SUM((MMULT(ISNUMBER(SEARCH(TRANSPOSE(category!$F$2:$F$9), A392))*1, ROW(category!$F$2:$F$9)^0)&gt;0)*1)</f>
        <v>0</v>
      </c>
    </row>
    <row r="393" spans="1:8" x14ac:dyDescent="0.45">
      <c r="A393" t="s">
        <v>814</v>
      </c>
      <c r="B393" s="6">
        <f t="shared" si="6"/>
        <v>9</v>
      </c>
      <c r="C393" s="4" cm="1">
        <f t="array" ref="C393">SUM((MMULT(ISNUMBER(SEARCH(TRANSPOSE(category!$A$2:$A$11), A393))*1, ROW(category!$A$2:$A$11)^0)&gt;0)*1)</f>
        <v>0</v>
      </c>
      <c r="D393" s="4" cm="1">
        <f t="array" ref="D393">SUM((MMULT(ISNUMBER(SEARCH(TRANSPOSE(category!$B$2:$B$25), A393))*1, ROW(category!$B$2:$B$25)^0)&gt;0)*1)</f>
        <v>1</v>
      </c>
      <c r="E393" s="4" cm="1">
        <f t="array" ref="E393">SUM((MMULT(ISNUMBER(SEARCH(TRANSPOSE(category!$C$2:$C$4), A393))*1, ROW(category!$C$2:$C$4)^0)&gt;0)*1)</f>
        <v>0</v>
      </c>
      <c r="F393" s="4" cm="1">
        <f t="array" ref="F393">SUM((MMULT(ISNUMBER(SEARCH(TRANSPOSE(category!$D$2:$D$10), A393))*1, ROW(category!$D$2:$D$10)^0)&gt;0)*1)</f>
        <v>0</v>
      </c>
      <c r="G393" s="4" cm="1">
        <f t="array" ref="G393">SUM((MMULT(ISNUMBER(SEARCH(TRANSPOSE(category!$E$2:$E$8), A393))*1, ROW(category!$E$2:$E$8)^0)&gt;0)*1)</f>
        <v>0</v>
      </c>
      <c r="H393" s="4" cm="1">
        <f t="array" ref="H393">SUM((MMULT(ISNUMBER(SEARCH(TRANSPOSE(category!$F$2:$F$9), A393))*1, ROW(category!$F$2:$F$9)^0)&gt;0)*1)</f>
        <v>0</v>
      </c>
    </row>
    <row r="394" spans="1:8" x14ac:dyDescent="0.45">
      <c r="A394" t="s">
        <v>816</v>
      </c>
      <c r="B394" s="6">
        <f t="shared" si="6"/>
        <v>4</v>
      </c>
      <c r="C394" s="4" cm="1">
        <f t="array" ref="C394">SUM((MMULT(ISNUMBER(SEARCH(TRANSPOSE(category!$A$2:$A$11), A394))*1, ROW(category!$A$2:$A$11)^0)&gt;0)*1)</f>
        <v>0</v>
      </c>
      <c r="D394" s="4" cm="1">
        <f t="array" ref="D394">SUM((MMULT(ISNUMBER(SEARCH(TRANSPOSE(category!$B$2:$B$25), A394))*1, ROW(category!$B$2:$B$25)^0)&gt;0)*1)</f>
        <v>0</v>
      </c>
      <c r="E394" s="4" cm="1">
        <f t="array" ref="E394">SUM((MMULT(ISNUMBER(SEARCH(TRANSPOSE(category!$C$2:$C$4), A394))*1, ROW(category!$C$2:$C$4)^0)&gt;0)*1)</f>
        <v>0</v>
      </c>
      <c r="F394" s="4" cm="1">
        <f t="array" ref="F394">SUM((MMULT(ISNUMBER(SEARCH(TRANSPOSE(category!$D$2:$D$10), A394))*1, ROW(category!$D$2:$D$10)^0)&gt;0)*1)</f>
        <v>0</v>
      </c>
      <c r="G394" s="4" cm="1">
        <f t="array" ref="G394">SUM((MMULT(ISNUMBER(SEARCH(TRANSPOSE(category!$E$2:$E$8), A394))*1, ROW(category!$E$2:$E$8)^0)&gt;0)*1)</f>
        <v>0</v>
      </c>
      <c r="H394" s="4" cm="1">
        <f t="array" ref="H394">SUM((MMULT(ISNUMBER(SEARCH(TRANSPOSE(category!$F$2:$F$9), A394))*1, ROW(category!$F$2:$F$9)^0)&gt;0)*1)</f>
        <v>1</v>
      </c>
    </row>
    <row r="395" spans="1:8" x14ac:dyDescent="0.45">
      <c r="A395" t="s">
        <v>818</v>
      </c>
      <c r="B395" s="6">
        <f t="shared" si="6"/>
        <v>13</v>
      </c>
      <c r="C395" s="4" cm="1">
        <f t="array" ref="C395">SUM((MMULT(ISNUMBER(SEARCH(TRANSPOSE(category!$A$2:$A$11), A395))*1, ROW(category!$A$2:$A$11)^0)&gt;0)*1)</f>
        <v>0</v>
      </c>
      <c r="D395" s="4" cm="1">
        <f t="array" ref="D395">SUM((MMULT(ISNUMBER(SEARCH(TRANSPOSE(category!$B$2:$B$25), A395))*1, ROW(category!$B$2:$B$25)^0)&gt;0)*1)</f>
        <v>1</v>
      </c>
      <c r="E395" s="4" cm="1">
        <f t="array" ref="E395">SUM((MMULT(ISNUMBER(SEARCH(TRANSPOSE(category!$C$2:$C$4), A395))*1, ROW(category!$C$2:$C$4)^0)&gt;0)*1)</f>
        <v>0</v>
      </c>
      <c r="F395" s="4" cm="1">
        <f t="array" ref="F395">SUM((MMULT(ISNUMBER(SEARCH(TRANSPOSE(category!$D$2:$D$10), A395))*1, ROW(category!$D$2:$D$10)^0)&gt;0)*1)</f>
        <v>1</v>
      </c>
      <c r="G395" s="4" cm="1">
        <f t="array" ref="G395">SUM((MMULT(ISNUMBER(SEARCH(TRANSPOSE(category!$E$2:$E$8), A395))*1, ROW(category!$E$2:$E$8)^0)&gt;0)*1)</f>
        <v>0</v>
      </c>
      <c r="H395" s="4" cm="1">
        <f t="array" ref="H395">SUM((MMULT(ISNUMBER(SEARCH(TRANSPOSE(category!$F$2:$F$9), A395))*1, ROW(category!$F$2:$F$9)^0)&gt;0)*1)</f>
        <v>0</v>
      </c>
    </row>
    <row r="396" spans="1:8" x14ac:dyDescent="0.45">
      <c r="A396" t="s">
        <v>820</v>
      </c>
      <c r="B396" s="6">
        <f t="shared" si="6"/>
        <v>5</v>
      </c>
      <c r="C396" s="4" cm="1">
        <f t="array" ref="C396">SUM((MMULT(ISNUMBER(SEARCH(TRANSPOSE(category!$A$2:$A$11), A396))*1, ROW(category!$A$2:$A$11)^0)&gt;0)*1)</f>
        <v>0</v>
      </c>
      <c r="D396" s="4" cm="1">
        <f t="array" ref="D396">SUM((MMULT(ISNUMBER(SEARCH(TRANSPOSE(category!$B$2:$B$25), A396))*1, ROW(category!$B$2:$B$25)^0)&gt;0)*1)</f>
        <v>1</v>
      </c>
      <c r="E396" s="4" cm="1">
        <f t="array" ref="E396">SUM((MMULT(ISNUMBER(SEARCH(TRANSPOSE(category!$C$2:$C$4), A396))*1, ROW(category!$C$2:$C$4)^0)&gt;0)*1)</f>
        <v>0</v>
      </c>
      <c r="F396" s="4" cm="1">
        <f t="array" ref="F396">SUM((MMULT(ISNUMBER(SEARCH(TRANSPOSE(category!$D$2:$D$10), A396))*1, ROW(category!$D$2:$D$10)^0)&gt;0)*1)</f>
        <v>0</v>
      </c>
      <c r="G396" s="4" cm="1">
        <f t="array" ref="G396">SUM((MMULT(ISNUMBER(SEARCH(TRANSPOSE(category!$E$2:$E$8), A396))*1, ROW(category!$E$2:$E$8)^0)&gt;0)*1)</f>
        <v>0</v>
      </c>
      <c r="H396" s="4" cm="1">
        <f t="array" ref="H396">SUM((MMULT(ISNUMBER(SEARCH(TRANSPOSE(category!$F$2:$F$9), A396))*1, ROW(category!$F$2:$F$9)^0)&gt;0)*1)</f>
        <v>0</v>
      </c>
    </row>
    <row r="397" spans="1:8" x14ac:dyDescent="0.45">
      <c r="A397" t="s">
        <v>822</v>
      </c>
      <c r="B397" s="6">
        <f t="shared" si="6"/>
        <v>12</v>
      </c>
      <c r="C397" s="4" cm="1">
        <f t="array" ref="C397">SUM((MMULT(ISNUMBER(SEARCH(TRANSPOSE(category!$A$2:$A$11), A397))*1, ROW(category!$A$2:$A$11)^0)&gt;0)*1)</f>
        <v>0</v>
      </c>
      <c r="D397" s="4" cm="1">
        <f t="array" ref="D397">SUM((MMULT(ISNUMBER(SEARCH(TRANSPOSE(category!$B$2:$B$25), A397))*1, ROW(category!$B$2:$B$25)^0)&gt;0)*1)</f>
        <v>1</v>
      </c>
      <c r="E397" s="4" cm="1">
        <f t="array" ref="E397">SUM((MMULT(ISNUMBER(SEARCH(TRANSPOSE(category!$C$2:$C$4), A397))*1, ROW(category!$C$2:$C$4)^0)&gt;0)*1)</f>
        <v>0</v>
      </c>
      <c r="F397" s="4" cm="1">
        <f t="array" ref="F397">SUM((MMULT(ISNUMBER(SEARCH(TRANSPOSE(category!$D$2:$D$10), A397))*1, ROW(category!$D$2:$D$10)^0)&gt;0)*1)</f>
        <v>0</v>
      </c>
      <c r="G397" s="4" cm="1">
        <f t="array" ref="G397">SUM((MMULT(ISNUMBER(SEARCH(TRANSPOSE(category!$E$2:$E$8), A397))*1, ROW(category!$E$2:$E$8)^0)&gt;0)*1)</f>
        <v>0</v>
      </c>
      <c r="H397" s="4" cm="1">
        <f t="array" ref="H397">SUM((MMULT(ISNUMBER(SEARCH(TRANSPOSE(category!$F$2:$F$9), A397))*1, ROW(category!$F$2:$F$9)^0)&gt;0)*1)</f>
        <v>0</v>
      </c>
    </row>
    <row r="398" spans="1:8" x14ac:dyDescent="0.45">
      <c r="A398" t="s">
        <v>824</v>
      </c>
      <c r="B398" s="6">
        <f t="shared" si="6"/>
        <v>10</v>
      </c>
      <c r="C398" s="4" cm="1">
        <f t="array" ref="C398">SUM((MMULT(ISNUMBER(SEARCH(TRANSPOSE(category!$A$2:$A$11), A398))*1, ROW(category!$A$2:$A$11)^0)&gt;0)*1)</f>
        <v>1</v>
      </c>
      <c r="D398" s="4" cm="1">
        <f t="array" ref="D398">SUM((MMULT(ISNUMBER(SEARCH(TRANSPOSE(category!$B$2:$B$25), A398))*1, ROW(category!$B$2:$B$25)^0)&gt;0)*1)</f>
        <v>1</v>
      </c>
      <c r="E398" s="4" cm="1">
        <f t="array" ref="E398">SUM((MMULT(ISNUMBER(SEARCH(TRANSPOSE(category!$C$2:$C$4), A398))*1, ROW(category!$C$2:$C$4)^0)&gt;0)*1)</f>
        <v>0</v>
      </c>
      <c r="F398" s="4" cm="1">
        <f t="array" ref="F398">SUM((MMULT(ISNUMBER(SEARCH(TRANSPOSE(category!$D$2:$D$10), A398))*1, ROW(category!$D$2:$D$10)^0)&gt;0)*1)</f>
        <v>0</v>
      </c>
      <c r="G398" s="4" cm="1">
        <f t="array" ref="G398">SUM((MMULT(ISNUMBER(SEARCH(TRANSPOSE(category!$E$2:$E$8), A398))*1, ROW(category!$E$2:$E$8)^0)&gt;0)*1)</f>
        <v>0</v>
      </c>
      <c r="H398" s="4" cm="1">
        <f t="array" ref="H398">SUM((MMULT(ISNUMBER(SEARCH(TRANSPOSE(category!$F$2:$F$9), A398))*1, ROW(category!$F$2:$F$9)^0)&gt;0)*1)</f>
        <v>0</v>
      </c>
    </row>
    <row r="399" spans="1:8" x14ac:dyDescent="0.45">
      <c r="A399" t="s">
        <v>826</v>
      </c>
      <c r="B399" s="6">
        <f t="shared" si="6"/>
        <v>4</v>
      </c>
      <c r="C399" s="4" cm="1">
        <f t="array" ref="C399">SUM((MMULT(ISNUMBER(SEARCH(TRANSPOSE(category!$A$2:$A$11), A399))*1, ROW(category!$A$2:$A$11)^0)&gt;0)*1)</f>
        <v>1</v>
      </c>
      <c r="D399" s="4" cm="1">
        <f t="array" ref="D399">SUM((MMULT(ISNUMBER(SEARCH(TRANSPOSE(category!$B$2:$B$25), A399))*1, ROW(category!$B$2:$B$25)^0)&gt;0)*1)</f>
        <v>1</v>
      </c>
      <c r="E399" s="4" cm="1">
        <f t="array" ref="E399">SUM((MMULT(ISNUMBER(SEARCH(TRANSPOSE(category!$C$2:$C$4), A399))*1, ROW(category!$C$2:$C$4)^0)&gt;0)*1)</f>
        <v>0</v>
      </c>
      <c r="F399" s="4" cm="1">
        <f t="array" ref="F399">SUM((MMULT(ISNUMBER(SEARCH(TRANSPOSE(category!$D$2:$D$10), A399))*1, ROW(category!$D$2:$D$10)^0)&gt;0)*1)</f>
        <v>0</v>
      </c>
      <c r="G399" s="4" cm="1">
        <f t="array" ref="G399">SUM((MMULT(ISNUMBER(SEARCH(TRANSPOSE(category!$E$2:$E$8), A399))*1, ROW(category!$E$2:$E$8)^0)&gt;0)*1)</f>
        <v>0</v>
      </c>
      <c r="H399" s="4" cm="1">
        <f t="array" ref="H399">SUM((MMULT(ISNUMBER(SEARCH(TRANSPOSE(category!$F$2:$F$9), A399))*1, ROW(category!$F$2:$F$9)^0)&gt;0)*1)</f>
        <v>0</v>
      </c>
    </row>
    <row r="400" spans="1:8" x14ac:dyDescent="0.45">
      <c r="A400" t="s">
        <v>806</v>
      </c>
      <c r="B400" s="6">
        <f t="shared" si="6"/>
        <v>2</v>
      </c>
      <c r="C400" s="4" cm="1">
        <f t="array" ref="C400">SUM((MMULT(ISNUMBER(SEARCH(TRANSPOSE(category!$A$2:$A$11), A400))*1, ROW(category!$A$2:$A$11)^0)&gt;0)*1)</f>
        <v>0</v>
      </c>
      <c r="D400" s="4" cm="1">
        <f t="array" ref="D400">SUM((MMULT(ISNUMBER(SEARCH(TRANSPOSE(category!$B$2:$B$25), A400))*1, ROW(category!$B$2:$B$25)^0)&gt;0)*1)</f>
        <v>1</v>
      </c>
      <c r="E400" s="4" cm="1">
        <f t="array" ref="E400">SUM((MMULT(ISNUMBER(SEARCH(TRANSPOSE(category!$C$2:$C$4), A400))*1, ROW(category!$C$2:$C$4)^0)&gt;0)*1)</f>
        <v>0</v>
      </c>
      <c r="F400" s="4" cm="1">
        <f t="array" ref="F400">SUM((MMULT(ISNUMBER(SEARCH(TRANSPOSE(category!$D$2:$D$10), A400))*1, ROW(category!$D$2:$D$10)^0)&gt;0)*1)</f>
        <v>0</v>
      </c>
      <c r="G400" s="4" cm="1">
        <f t="array" ref="G400">SUM((MMULT(ISNUMBER(SEARCH(TRANSPOSE(category!$E$2:$E$8), A400))*1, ROW(category!$E$2:$E$8)^0)&gt;0)*1)</f>
        <v>0</v>
      </c>
      <c r="H400" s="4" cm="1">
        <f t="array" ref="H400">SUM((MMULT(ISNUMBER(SEARCH(TRANSPOSE(category!$F$2:$F$9), A400))*1, ROW(category!$F$2:$F$9)^0)&gt;0)*1)</f>
        <v>0</v>
      </c>
    </row>
    <row r="401" spans="1:8" x14ac:dyDescent="0.45">
      <c r="A401" t="s">
        <v>829</v>
      </c>
      <c r="B401" s="6">
        <f t="shared" si="6"/>
        <v>10</v>
      </c>
      <c r="C401" s="4" cm="1">
        <f t="array" ref="C401">SUM((MMULT(ISNUMBER(SEARCH(TRANSPOSE(category!$A$2:$A$11), A401))*1, ROW(category!$A$2:$A$11)^0)&gt;0)*1)</f>
        <v>0</v>
      </c>
      <c r="D401" s="4" cm="1">
        <f t="array" ref="D401">SUM((MMULT(ISNUMBER(SEARCH(TRANSPOSE(category!$B$2:$B$25), A401))*1, ROW(category!$B$2:$B$25)^0)&gt;0)*1)</f>
        <v>0</v>
      </c>
      <c r="E401" s="4" cm="1">
        <f t="array" ref="E401">SUM((MMULT(ISNUMBER(SEARCH(TRANSPOSE(category!$C$2:$C$4), A401))*1, ROW(category!$C$2:$C$4)^0)&gt;0)*1)</f>
        <v>0</v>
      </c>
      <c r="F401" s="4" cm="1">
        <f t="array" ref="F401">SUM((MMULT(ISNUMBER(SEARCH(TRANSPOSE(category!$D$2:$D$10), A401))*1, ROW(category!$D$2:$D$10)^0)&gt;0)*1)</f>
        <v>0</v>
      </c>
      <c r="G401" s="4" cm="1">
        <f t="array" ref="G401">SUM((MMULT(ISNUMBER(SEARCH(TRANSPOSE(category!$E$2:$E$8), A401))*1, ROW(category!$E$2:$E$8)^0)&gt;0)*1)</f>
        <v>0</v>
      </c>
      <c r="H401" s="4" cm="1">
        <f t="array" ref="H401">SUM((MMULT(ISNUMBER(SEARCH(TRANSPOSE(category!$F$2:$F$9), A401))*1, ROW(category!$F$2:$F$9)^0)&gt;0)*1)</f>
        <v>0</v>
      </c>
    </row>
    <row r="402" spans="1:8" x14ac:dyDescent="0.45">
      <c r="A402" t="s">
        <v>831</v>
      </c>
      <c r="B402" s="6">
        <f t="shared" si="6"/>
        <v>5</v>
      </c>
      <c r="C402" s="4" cm="1">
        <f t="array" ref="C402">SUM((MMULT(ISNUMBER(SEARCH(TRANSPOSE(category!$A$2:$A$11), A402))*1, ROW(category!$A$2:$A$11)^0)&gt;0)*1)</f>
        <v>0</v>
      </c>
      <c r="D402" s="4" cm="1">
        <f t="array" ref="D402">SUM((MMULT(ISNUMBER(SEARCH(TRANSPOSE(category!$B$2:$B$25), A402))*1, ROW(category!$B$2:$B$25)^0)&gt;0)*1)</f>
        <v>1</v>
      </c>
      <c r="E402" s="4" cm="1">
        <f t="array" ref="E402">SUM((MMULT(ISNUMBER(SEARCH(TRANSPOSE(category!$C$2:$C$4), A402))*1, ROW(category!$C$2:$C$4)^0)&gt;0)*1)</f>
        <v>0</v>
      </c>
      <c r="F402" s="4" cm="1">
        <f t="array" ref="F402">SUM((MMULT(ISNUMBER(SEARCH(TRANSPOSE(category!$D$2:$D$10), A402))*1, ROW(category!$D$2:$D$10)^0)&gt;0)*1)</f>
        <v>0</v>
      </c>
      <c r="G402" s="4" cm="1">
        <f t="array" ref="G402">SUM((MMULT(ISNUMBER(SEARCH(TRANSPOSE(category!$E$2:$E$8), A402))*1, ROW(category!$E$2:$E$8)^0)&gt;0)*1)</f>
        <v>0</v>
      </c>
      <c r="H402" s="4" cm="1">
        <f t="array" ref="H402">SUM((MMULT(ISNUMBER(SEARCH(TRANSPOSE(category!$F$2:$F$9), A402))*1, ROW(category!$F$2:$F$9)^0)&gt;0)*1)</f>
        <v>0</v>
      </c>
    </row>
    <row r="403" spans="1:8" x14ac:dyDescent="0.45">
      <c r="A403" t="s">
        <v>833</v>
      </c>
      <c r="B403" s="6">
        <f t="shared" si="6"/>
        <v>11</v>
      </c>
      <c r="C403" s="4" cm="1">
        <f t="array" ref="C403">SUM((MMULT(ISNUMBER(SEARCH(TRANSPOSE(category!$A$2:$A$11), A403))*1, ROW(category!$A$2:$A$11)^0)&gt;0)*1)</f>
        <v>0</v>
      </c>
      <c r="D403" s="4" cm="1">
        <f t="array" ref="D403">SUM((MMULT(ISNUMBER(SEARCH(TRANSPOSE(category!$B$2:$B$25), A403))*1, ROW(category!$B$2:$B$25)^0)&gt;0)*1)</f>
        <v>0</v>
      </c>
      <c r="E403" s="4" cm="1">
        <f t="array" ref="E403">SUM((MMULT(ISNUMBER(SEARCH(TRANSPOSE(category!$C$2:$C$4), A403))*1, ROW(category!$C$2:$C$4)^0)&gt;0)*1)</f>
        <v>0</v>
      </c>
      <c r="F403" s="4" cm="1">
        <f t="array" ref="F403">SUM((MMULT(ISNUMBER(SEARCH(TRANSPOSE(category!$D$2:$D$10), A403))*1, ROW(category!$D$2:$D$10)^0)&gt;0)*1)</f>
        <v>0</v>
      </c>
      <c r="G403" s="4" cm="1">
        <f t="array" ref="G403">SUM((MMULT(ISNUMBER(SEARCH(TRANSPOSE(category!$E$2:$E$8), A403))*1, ROW(category!$E$2:$E$8)^0)&gt;0)*1)</f>
        <v>0</v>
      </c>
      <c r="H403" s="4" cm="1">
        <f t="array" ref="H403">SUM((MMULT(ISNUMBER(SEARCH(TRANSPOSE(category!$F$2:$F$9), A403))*1, ROW(category!$F$2:$F$9)^0)&gt;0)*1)</f>
        <v>0</v>
      </c>
    </row>
    <row r="404" spans="1:8" x14ac:dyDescent="0.45">
      <c r="A404" t="s">
        <v>835</v>
      </c>
      <c r="B404" s="6">
        <f t="shared" si="6"/>
        <v>12</v>
      </c>
      <c r="C404" s="4" cm="1">
        <f t="array" ref="C404">SUM((MMULT(ISNUMBER(SEARCH(TRANSPOSE(category!$A$2:$A$11), A404))*1, ROW(category!$A$2:$A$11)^0)&gt;0)*1)</f>
        <v>0</v>
      </c>
      <c r="D404" s="4" cm="1">
        <f t="array" ref="D404">SUM((MMULT(ISNUMBER(SEARCH(TRANSPOSE(category!$B$2:$B$25), A404))*1, ROW(category!$B$2:$B$25)^0)&gt;0)*1)</f>
        <v>1</v>
      </c>
      <c r="E404" s="4" cm="1">
        <f t="array" ref="E404">SUM((MMULT(ISNUMBER(SEARCH(TRANSPOSE(category!$C$2:$C$4), A404))*1, ROW(category!$C$2:$C$4)^0)&gt;0)*1)</f>
        <v>0</v>
      </c>
      <c r="F404" s="4" cm="1">
        <f t="array" ref="F404">SUM((MMULT(ISNUMBER(SEARCH(TRANSPOSE(category!$D$2:$D$10), A404))*1, ROW(category!$D$2:$D$10)^0)&gt;0)*1)</f>
        <v>0</v>
      </c>
      <c r="G404" s="4" cm="1">
        <f t="array" ref="G404">SUM((MMULT(ISNUMBER(SEARCH(TRANSPOSE(category!$E$2:$E$8), A404))*1, ROW(category!$E$2:$E$8)^0)&gt;0)*1)</f>
        <v>0</v>
      </c>
      <c r="H404" s="4" cm="1">
        <f t="array" ref="H404">SUM((MMULT(ISNUMBER(SEARCH(TRANSPOSE(category!$F$2:$F$9), A404))*1, ROW(category!$F$2:$F$9)^0)&gt;0)*1)</f>
        <v>0</v>
      </c>
    </row>
    <row r="405" spans="1:8" x14ac:dyDescent="0.45">
      <c r="A405" t="s">
        <v>837</v>
      </c>
      <c r="B405" s="6">
        <f t="shared" si="6"/>
        <v>9</v>
      </c>
      <c r="C405" s="4" cm="1">
        <f t="array" ref="C405">SUM((MMULT(ISNUMBER(SEARCH(TRANSPOSE(category!$A$2:$A$11), A405))*1, ROW(category!$A$2:$A$11)^0)&gt;0)*1)</f>
        <v>0</v>
      </c>
      <c r="D405" s="4" cm="1">
        <f t="array" ref="D405">SUM((MMULT(ISNUMBER(SEARCH(TRANSPOSE(category!$B$2:$B$25), A405))*1, ROW(category!$B$2:$B$25)^0)&gt;0)*1)</f>
        <v>1</v>
      </c>
      <c r="E405" s="4" cm="1">
        <f t="array" ref="E405">SUM((MMULT(ISNUMBER(SEARCH(TRANSPOSE(category!$C$2:$C$4), A405))*1, ROW(category!$C$2:$C$4)^0)&gt;0)*1)</f>
        <v>0</v>
      </c>
      <c r="F405" s="4" cm="1">
        <f t="array" ref="F405">SUM((MMULT(ISNUMBER(SEARCH(TRANSPOSE(category!$D$2:$D$10), A405))*1, ROW(category!$D$2:$D$10)^0)&gt;0)*1)</f>
        <v>0</v>
      </c>
      <c r="G405" s="4" cm="1">
        <f t="array" ref="G405">SUM((MMULT(ISNUMBER(SEARCH(TRANSPOSE(category!$E$2:$E$8), A405))*1, ROW(category!$E$2:$E$8)^0)&gt;0)*1)</f>
        <v>0</v>
      </c>
      <c r="H405" s="4" cm="1">
        <f t="array" ref="H405">SUM((MMULT(ISNUMBER(SEARCH(TRANSPOSE(category!$F$2:$F$9), A405))*1, ROW(category!$F$2:$F$9)^0)&gt;0)*1)</f>
        <v>0</v>
      </c>
    </row>
    <row r="406" spans="1:8" x14ac:dyDescent="0.45">
      <c r="A406" t="s">
        <v>839</v>
      </c>
      <c r="B406" s="6">
        <f t="shared" si="6"/>
        <v>5</v>
      </c>
      <c r="C406" s="4" cm="1">
        <f t="array" ref="C406">SUM((MMULT(ISNUMBER(SEARCH(TRANSPOSE(category!$A$2:$A$11), A406))*1, ROW(category!$A$2:$A$11)^0)&gt;0)*1)</f>
        <v>1</v>
      </c>
      <c r="D406" s="4" cm="1">
        <f t="array" ref="D406">SUM((MMULT(ISNUMBER(SEARCH(TRANSPOSE(category!$B$2:$B$25), A406))*1, ROW(category!$B$2:$B$25)^0)&gt;0)*1)</f>
        <v>1</v>
      </c>
      <c r="E406" s="4" cm="1">
        <f t="array" ref="E406">SUM((MMULT(ISNUMBER(SEARCH(TRANSPOSE(category!$C$2:$C$4), A406))*1, ROW(category!$C$2:$C$4)^0)&gt;0)*1)</f>
        <v>0</v>
      </c>
      <c r="F406" s="4" cm="1">
        <f t="array" ref="F406">SUM((MMULT(ISNUMBER(SEARCH(TRANSPOSE(category!$D$2:$D$10), A406))*1, ROW(category!$D$2:$D$10)^0)&gt;0)*1)</f>
        <v>0</v>
      </c>
      <c r="G406" s="4" cm="1">
        <f t="array" ref="G406">SUM((MMULT(ISNUMBER(SEARCH(TRANSPOSE(category!$E$2:$E$8), A406))*1, ROW(category!$E$2:$E$8)^0)&gt;0)*1)</f>
        <v>0</v>
      </c>
      <c r="H406" s="4" cm="1">
        <f t="array" ref="H406">SUM((MMULT(ISNUMBER(SEARCH(TRANSPOSE(category!$F$2:$F$9), A406))*1, ROW(category!$F$2:$F$9)^0)&gt;0)*1)</f>
        <v>0</v>
      </c>
    </row>
    <row r="407" spans="1:8" x14ac:dyDescent="0.45">
      <c r="A407" t="s">
        <v>841</v>
      </c>
      <c r="B407" s="6">
        <f t="shared" si="6"/>
        <v>9</v>
      </c>
      <c r="C407" s="4" cm="1">
        <f t="array" ref="C407">SUM((MMULT(ISNUMBER(SEARCH(TRANSPOSE(category!$A$2:$A$11), A407))*1, ROW(category!$A$2:$A$11)^0)&gt;0)*1)</f>
        <v>0</v>
      </c>
      <c r="D407" s="4" cm="1">
        <f t="array" ref="D407">SUM((MMULT(ISNUMBER(SEARCH(TRANSPOSE(category!$B$2:$B$25), A407))*1, ROW(category!$B$2:$B$25)^0)&gt;0)*1)</f>
        <v>1</v>
      </c>
      <c r="E407" s="4" cm="1">
        <f t="array" ref="E407">SUM((MMULT(ISNUMBER(SEARCH(TRANSPOSE(category!$C$2:$C$4), A407))*1, ROW(category!$C$2:$C$4)^0)&gt;0)*1)</f>
        <v>0</v>
      </c>
      <c r="F407" s="4" cm="1">
        <f t="array" ref="F407">SUM((MMULT(ISNUMBER(SEARCH(TRANSPOSE(category!$D$2:$D$10), A407))*1, ROW(category!$D$2:$D$10)^0)&gt;0)*1)</f>
        <v>0</v>
      </c>
      <c r="G407" s="4" cm="1">
        <f t="array" ref="G407">SUM((MMULT(ISNUMBER(SEARCH(TRANSPOSE(category!$E$2:$E$8), A407))*1, ROW(category!$E$2:$E$8)^0)&gt;0)*1)</f>
        <v>0</v>
      </c>
      <c r="H407" s="4" cm="1">
        <f t="array" ref="H407">SUM((MMULT(ISNUMBER(SEARCH(TRANSPOSE(category!$F$2:$F$9), A407))*1, ROW(category!$F$2:$F$9)^0)&gt;0)*1)</f>
        <v>0</v>
      </c>
    </row>
    <row r="408" spans="1:8" x14ac:dyDescent="0.45">
      <c r="A408" t="s">
        <v>843</v>
      </c>
      <c r="B408" s="6">
        <f t="shared" si="6"/>
        <v>2</v>
      </c>
      <c r="C408" s="4" cm="1">
        <f t="array" ref="C408">SUM((MMULT(ISNUMBER(SEARCH(TRANSPOSE(category!$A$2:$A$11), A408))*1, ROW(category!$A$2:$A$11)^0)&gt;0)*1)</f>
        <v>0</v>
      </c>
      <c r="D408" s="4" cm="1">
        <f t="array" ref="D408">SUM((MMULT(ISNUMBER(SEARCH(TRANSPOSE(category!$B$2:$B$25), A408))*1, ROW(category!$B$2:$B$25)^0)&gt;0)*1)</f>
        <v>1</v>
      </c>
      <c r="E408" s="4" cm="1">
        <f t="array" ref="E408">SUM((MMULT(ISNUMBER(SEARCH(TRANSPOSE(category!$C$2:$C$4), A408))*1, ROW(category!$C$2:$C$4)^0)&gt;0)*1)</f>
        <v>0</v>
      </c>
      <c r="F408" s="4" cm="1">
        <f t="array" ref="F408">SUM((MMULT(ISNUMBER(SEARCH(TRANSPOSE(category!$D$2:$D$10), A408))*1, ROW(category!$D$2:$D$10)^0)&gt;0)*1)</f>
        <v>0</v>
      </c>
      <c r="G408" s="4" cm="1">
        <f t="array" ref="G408">SUM((MMULT(ISNUMBER(SEARCH(TRANSPOSE(category!$E$2:$E$8), A408))*1, ROW(category!$E$2:$E$8)^0)&gt;0)*1)</f>
        <v>0</v>
      </c>
      <c r="H408" s="4" cm="1">
        <f t="array" ref="H408">SUM((MMULT(ISNUMBER(SEARCH(TRANSPOSE(category!$F$2:$F$9), A408))*1, ROW(category!$F$2:$F$9)^0)&gt;0)*1)</f>
        <v>0</v>
      </c>
    </row>
    <row r="409" spans="1:8" x14ac:dyDescent="0.45">
      <c r="A409" t="s">
        <v>845</v>
      </c>
      <c r="B409" s="6">
        <f t="shared" si="6"/>
        <v>1</v>
      </c>
      <c r="C409" s="4" cm="1">
        <f t="array" ref="C409">SUM((MMULT(ISNUMBER(SEARCH(TRANSPOSE(category!$A$2:$A$11), A409))*1, ROW(category!$A$2:$A$11)^0)&gt;0)*1)</f>
        <v>0</v>
      </c>
      <c r="D409" s="4" cm="1">
        <f t="array" ref="D409">SUM((MMULT(ISNUMBER(SEARCH(TRANSPOSE(category!$B$2:$B$25), A409))*1, ROW(category!$B$2:$B$25)^0)&gt;0)*1)</f>
        <v>0</v>
      </c>
      <c r="E409" s="4" cm="1">
        <f t="array" ref="E409">SUM((MMULT(ISNUMBER(SEARCH(TRANSPOSE(category!$C$2:$C$4), A409))*1, ROW(category!$C$2:$C$4)^0)&gt;0)*1)</f>
        <v>0</v>
      </c>
      <c r="F409" s="4" cm="1">
        <f t="array" ref="F409">SUM((MMULT(ISNUMBER(SEARCH(TRANSPOSE(category!$D$2:$D$10), A409))*1, ROW(category!$D$2:$D$10)^0)&gt;0)*1)</f>
        <v>0</v>
      </c>
      <c r="G409" s="4" cm="1">
        <f t="array" ref="G409">SUM((MMULT(ISNUMBER(SEARCH(TRANSPOSE(category!$E$2:$E$8), A409))*1, ROW(category!$E$2:$E$8)^0)&gt;0)*1)</f>
        <v>0</v>
      </c>
      <c r="H409" s="4" cm="1">
        <f t="array" ref="H409">SUM((MMULT(ISNUMBER(SEARCH(TRANSPOSE(category!$F$2:$F$9), A409))*1, ROW(category!$F$2:$F$9)^0)&gt;0)*1)</f>
        <v>0</v>
      </c>
    </row>
    <row r="410" spans="1:8" x14ac:dyDescent="0.45">
      <c r="A410" t="s">
        <v>808</v>
      </c>
      <c r="B410" s="6">
        <f t="shared" si="6"/>
        <v>2</v>
      </c>
      <c r="C410" s="4" cm="1">
        <f t="array" ref="C410">SUM((MMULT(ISNUMBER(SEARCH(TRANSPOSE(category!$A$2:$A$11), A410))*1, ROW(category!$A$2:$A$11)^0)&gt;0)*1)</f>
        <v>0</v>
      </c>
      <c r="D410" s="4" cm="1">
        <f t="array" ref="D410">SUM((MMULT(ISNUMBER(SEARCH(TRANSPOSE(category!$B$2:$B$25), A410))*1, ROW(category!$B$2:$B$25)^0)&gt;0)*1)</f>
        <v>1</v>
      </c>
      <c r="E410" s="4" cm="1">
        <f t="array" ref="E410">SUM((MMULT(ISNUMBER(SEARCH(TRANSPOSE(category!$C$2:$C$4), A410))*1, ROW(category!$C$2:$C$4)^0)&gt;0)*1)</f>
        <v>0</v>
      </c>
      <c r="F410" s="4" cm="1">
        <f t="array" ref="F410">SUM((MMULT(ISNUMBER(SEARCH(TRANSPOSE(category!$D$2:$D$10), A410))*1, ROW(category!$D$2:$D$10)^0)&gt;0)*1)</f>
        <v>0</v>
      </c>
      <c r="G410" s="4" cm="1">
        <f t="array" ref="G410">SUM((MMULT(ISNUMBER(SEARCH(TRANSPOSE(category!$E$2:$E$8), A410))*1, ROW(category!$E$2:$E$8)^0)&gt;0)*1)</f>
        <v>0</v>
      </c>
      <c r="H410" s="4" cm="1">
        <f t="array" ref="H410">SUM((MMULT(ISNUMBER(SEARCH(TRANSPOSE(category!$F$2:$F$9), A410))*1, ROW(category!$F$2:$F$9)^0)&gt;0)*1)</f>
        <v>0</v>
      </c>
    </row>
    <row r="411" spans="1:8" x14ac:dyDescent="0.45">
      <c r="A411" t="s">
        <v>848</v>
      </c>
      <c r="B411" s="6">
        <f t="shared" si="6"/>
        <v>1</v>
      </c>
      <c r="C411" s="4" cm="1">
        <f t="array" ref="C411">SUM((MMULT(ISNUMBER(SEARCH(TRANSPOSE(category!$A$2:$A$11), A411))*1, ROW(category!$A$2:$A$11)^0)&gt;0)*1)</f>
        <v>0</v>
      </c>
      <c r="D411" s="4" cm="1">
        <f t="array" ref="D411">SUM((MMULT(ISNUMBER(SEARCH(TRANSPOSE(category!$B$2:$B$25), A411))*1, ROW(category!$B$2:$B$25)^0)&gt;0)*1)</f>
        <v>1</v>
      </c>
      <c r="E411" s="4" cm="1">
        <f t="array" ref="E411">SUM((MMULT(ISNUMBER(SEARCH(TRANSPOSE(category!$C$2:$C$4), A411))*1, ROW(category!$C$2:$C$4)^0)&gt;0)*1)</f>
        <v>0</v>
      </c>
      <c r="F411" s="4" cm="1">
        <f t="array" ref="F411">SUM((MMULT(ISNUMBER(SEARCH(TRANSPOSE(category!$D$2:$D$10), A411))*1, ROW(category!$D$2:$D$10)^0)&gt;0)*1)</f>
        <v>0</v>
      </c>
      <c r="G411" s="4" cm="1">
        <f t="array" ref="G411">SUM((MMULT(ISNUMBER(SEARCH(TRANSPOSE(category!$E$2:$E$8), A411))*1, ROW(category!$E$2:$E$8)^0)&gt;0)*1)</f>
        <v>0</v>
      </c>
      <c r="H411" s="4" cm="1">
        <f t="array" ref="H411">SUM((MMULT(ISNUMBER(SEARCH(TRANSPOSE(category!$F$2:$F$9), A411))*1, ROW(category!$F$2:$F$9)^0)&gt;0)*1)</f>
        <v>0</v>
      </c>
    </row>
    <row r="412" spans="1:8" x14ac:dyDescent="0.45">
      <c r="A412" t="s">
        <v>850</v>
      </c>
      <c r="B412" s="6">
        <f t="shared" si="6"/>
        <v>6</v>
      </c>
      <c r="C412" s="4" cm="1">
        <f t="array" ref="C412">SUM((MMULT(ISNUMBER(SEARCH(TRANSPOSE(category!$A$2:$A$11), A412))*1, ROW(category!$A$2:$A$11)^0)&gt;0)*1)</f>
        <v>0</v>
      </c>
      <c r="D412" s="4" cm="1">
        <f t="array" ref="D412">SUM((MMULT(ISNUMBER(SEARCH(TRANSPOSE(category!$B$2:$B$25), A412))*1, ROW(category!$B$2:$B$25)^0)&gt;0)*1)</f>
        <v>1</v>
      </c>
      <c r="E412" s="4" cm="1">
        <f t="array" ref="E412">SUM((MMULT(ISNUMBER(SEARCH(TRANSPOSE(category!$C$2:$C$4), A412))*1, ROW(category!$C$2:$C$4)^0)&gt;0)*1)</f>
        <v>0</v>
      </c>
      <c r="F412" s="4" cm="1">
        <f t="array" ref="F412">SUM((MMULT(ISNUMBER(SEARCH(TRANSPOSE(category!$D$2:$D$10), A412))*1, ROW(category!$D$2:$D$10)^0)&gt;0)*1)</f>
        <v>0</v>
      </c>
      <c r="G412" s="4" cm="1">
        <f t="array" ref="G412">SUM((MMULT(ISNUMBER(SEARCH(TRANSPOSE(category!$E$2:$E$8), A412))*1, ROW(category!$E$2:$E$8)^0)&gt;0)*1)</f>
        <v>0</v>
      </c>
      <c r="H412" s="4" cm="1">
        <f t="array" ref="H412">SUM((MMULT(ISNUMBER(SEARCH(TRANSPOSE(category!$F$2:$F$9), A412))*1, ROW(category!$F$2:$F$9)^0)&gt;0)*1)</f>
        <v>0</v>
      </c>
    </row>
    <row r="413" spans="1:8" x14ac:dyDescent="0.45">
      <c r="A413" t="s">
        <v>852</v>
      </c>
      <c r="B413" s="6">
        <f t="shared" si="6"/>
        <v>2</v>
      </c>
      <c r="C413" s="4" cm="1">
        <f t="array" ref="C413">SUM((MMULT(ISNUMBER(SEARCH(TRANSPOSE(category!$A$2:$A$11), A413))*1, ROW(category!$A$2:$A$11)^0)&gt;0)*1)</f>
        <v>0</v>
      </c>
      <c r="D413" s="4" cm="1">
        <f t="array" ref="D413">SUM((MMULT(ISNUMBER(SEARCH(TRANSPOSE(category!$B$2:$B$25), A413))*1, ROW(category!$B$2:$B$25)^0)&gt;0)*1)</f>
        <v>1</v>
      </c>
      <c r="E413" s="4" cm="1">
        <f t="array" ref="E413">SUM((MMULT(ISNUMBER(SEARCH(TRANSPOSE(category!$C$2:$C$4), A413))*1, ROW(category!$C$2:$C$4)^0)&gt;0)*1)</f>
        <v>0</v>
      </c>
      <c r="F413" s="4" cm="1">
        <f t="array" ref="F413">SUM((MMULT(ISNUMBER(SEARCH(TRANSPOSE(category!$D$2:$D$10), A413))*1, ROW(category!$D$2:$D$10)^0)&gt;0)*1)</f>
        <v>0</v>
      </c>
      <c r="G413" s="4" cm="1">
        <f t="array" ref="G413">SUM((MMULT(ISNUMBER(SEARCH(TRANSPOSE(category!$E$2:$E$8), A413))*1, ROW(category!$E$2:$E$8)^0)&gt;0)*1)</f>
        <v>0</v>
      </c>
      <c r="H413" s="4" cm="1">
        <f t="array" ref="H413">SUM((MMULT(ISNUMBER(SEARCH(TRANSPOSE(category!$F$2:$F$9), A413))*1, ROW(category!$F$2:$F$9)^0)&gt;0)*1)</f>
        <v>0</v>
      </c>
    </row>
    <row r="414" spans="1:8" x14ac:dyDescent="0.45">
      <c r="A414" t="s">
        <v>854</v>
      </c>
      <c r="B414" s="6">
        <f t="shared" si="6"/>
        <v>4</v>
      </c>
      <c r="C414" s="4" cm="1">
        <f t="array" ref="C414">SUM((MMULT(ISNUMBER(SEARCH(TRANSPOSE(category!$A$2:$A$11), A414))*1, ROW(category!$A$2:$A$11)^0)&gt;0)*1)</f>
        <v>0</v>
      </c>
      <c r="D414" s="4" cm="1">
        <f t="array" ref="D414">SUM((MMULT(ISNUMBER(SEARCH(TRANSPOSE(category!$B$2:$B$25), A414))*1, ROW(category!$B$2:$B$25)^0)&gt;0)*1)</f>
        <v>1</v>
      </c>
      <c r="E414" s="4" cm="1">
        <f t="array" ref="E414">SUM((MMULT(ISNUMBER(SEARCH(TRANSPOSE(category!$C$2:$C$4), A414))*1, ROW(category!$C$2:$C$4)^0)&gt;0)*1)</f>
        <v>0</v>
      </c>
      <c r="F414" s="4" cm="1">
        <f t="array" ref="F414">SUM((MMULT(ISNUMBER(SEARCH(TRANSPOSE(category!$D$2:$D$10), A414))*1, ROW(category!$D$2:$D$10)^0)&gt;0)*1)</f>
        <v>0</v>
      </c>
      <c r="G414" s="4" cm="1">
        <f t="array" ref="G414">SUM((MMULT(ISNUMBER(SEARCH(TRANSPOSE(category!$E$2:$E$8), A414))*1, ROW(category!$E$2:$E$8)^0)&gt;0)*1)</f>
        <v>0</v>
      </c>
      <c r="H414" s="4" cm="1">
        <f t="array" ref="H414">SUM((MMULT(ISNUMBER(SEARCH(TRANSPOSE(category!$F$2:$F$9), A414))*1, ROW(category!$F$2:$F$9)^0)&gt;0)*1)</f>
        <v>0</v>
      </c>
    </row>
    <row r="415" spans="1:8" x14ac:dyDescent="0.45">
      <c r="A415" t="s">
        <v>856</v>
      </c>
      <c r="B415" s="6">
        <f t="shared" si="6"/>
        <v>4</v>
      </c>
      <c r="C415" s="4" cm="1">
        <f t="array" ref="C415">SUM((MMULT(ISNUMBER(SEARCH(TRANSPOSE(category!$A$2:$A$11), A415))*1, ROW(category!$A$2:$A$11)^0)&gt;0)*1)</f>
        <v>0</v>
      </c>
      <c r="D415" s="4" cm="1">
        <f t="array" ref="D415">SUM((MMULT(ISNUMBER(SEARCH(TRANSPOSE(category!$B$2:$B$25), A415))*1, ROW(category!$B$2:$B$25)^0)&gt;0)*1)</f>
        <v>1</v>
      </c>
      <c r="E415" s="4" cm="1">
        <f t="array" ref="E415">SUM((MMULT(ISNUMBER(SEARCH(TRANSPOSE(category!$C$2:$C$4), A415))*1, ROW(category!$C$2:$C$4)^0)&gt;0)*1)</f>
        <v>0</v>
      </c>
      <c r="F415" s="4" cm="1">
        <f t="array" ref="F415">SUM((MMULT(ISNUMBER(SEARCH(TRANSPOSE(category!$D$2:$D$10), A415))*1, ROW(category!$D$2:$D$10)^0)&gt;0)*1)</f>
        <v>1</v>
      </c>
      <c r="G415" s="4" cm="1">
        <f t="array" ref="G415">SUM((MMULT(ISNUMBER(SEARCH(TRANSPOSE(category!$E$2:$E$8), A415))*1, ROW(category!$E$2:$E$8)^0)&gt;0)*1)</f>
        <v>0</v>
      </c>
      <c r="H415" s="4" cm="1">
        <f t="array" ref="H415">SUM((MMULT(ISNUMBER(SEARCH(TRANSPOSE(category!$F$2:$F$9), A415))*1, ROW(category!$F$2:$F$9)^0)&gt;0)*1)</f>
        <v>0</v>
      </c>
    </row>
    <row r="416" spans="1:8" x14ac:dyDescent="0.45">
      <c r="A416" t="s">
        <v>858</v>
      </c>
      <c r="B416" s="6">
        <f t="shared" si="6"/>
        <v>9</v>
      </c>
      <c r="C416" s="4" cm="1">
        <f t="array" ref="C416">SUM((MMULT(ISNUMBER(SEARCH(TRANSPOSE(category!$A$2:$A$11), A416))*1, ROW(category!$A$2:$A$11)^0)&gt;0)*1)</f>
        <v>0</v>
      </c>
      <c r="D416" s="4" cm="1">
        <f t="array" ref="D416">SUM((MMULT(ISNUMBER(SEARCH(TRANSPOSE(category!$B$2:$B$25), A416))*1, ROW(category!$B$2:$B$25)^0)&gt;0)*1)</f>
        <v>1</v>
      </c>
      <c r="E416" s="4" cm="1">
        <f t="array" ref="E416">SUM((MMULT(ISNUMBER(SEARCH(TRANSPOSE(category!$C$2:$C$4), A416))*1, ROW(category!$C$2:$C$4)^0)&gt;0)*1)</f>
        <v>1</v>
      </c>
      <c r="F416" s="4" cm="1">
        <f t="array" ref="F416">SUM((MMULT(ISNUMBER(SEARCH(TRANSPOSE(category!$D$2:$D$10), A416))*1, ROW(category!$D$2:$D$10)^0)&gt;0)*1)</f>
        <v>0</v>
      </c>
      <c r="G416" s="4" cm="1">
        <f t="array" ref="G416">SUM((MMULT(ISNUMBER(SEARCH(TRANSPOSE(category!$E$2:$E$8), A416))*1, ROW(category!$E$2:$E$8)^0)&gt;0)*1)</f>
        <v>0</v>
      </c>
      <c r="H416" s="4" cm="1">
        <f t="array" ref="H416">SUM((MMULT(ISNUMBER(SEARCH(TRANSPOSE(category!$F$2:$F$9), A416))*1, ROW(category!$F$2:$F$9)^0)&gt;0)*1)</f>
        <v>0</v>
      </c>
    </row>
    <row r="417" spans="1:8" x14ac:dyDescent="0.45">
      <c r="A417" t="s">
        <v>860</v>
      </c>
      <c r="B417" s="6">
        <f t="shared" si="6"/>
        <v>9</v>
      </c>
      <c r="C417" s="4" cm="1">
        <f t="array" ref="C417">SUM((MMULT(ISNUMBER(SEARCH(TRANSPOSE(category!$A$2:$A$11), A417))*1, ROW(category!$A$2:$A$11)^0)&gt;0)*1)</f>
        <v>0</v>
      </c>
      <c r="D417" s="4" cm="1">
        <f t="array" ref="D417">SUM((MMULT(ISNUMBER(SEARCH(TRANSPOSE(category!$B$2:$B$25), A417))*1, ROW(category!$B$2:$B$25)^0)&gt;0)*1)</f>
        <v>0</v>
      </c>
      <c r="E417" s="4" cm="1">
        <f t="array" ref="E417">SUM((MMULT(ISNUMBER(SEARCH(TRANSPOSE(category!$C$2:$C$4), A417))*1, ROW(category!$C$2:$C$4)^0)&gt;0)*1)</f>
        <v>0</v>
      </c>
      <c r="F417" s="4" cm="1">
        <f t="array" ref="F417">SUM((MMULT(ISNUMBER(SEARCH(TRANSPOSE(category!$D$2:$D$10), A417))*1, ROW(category!$D$2:$D$10)^0)&gt;0)*1)</f>
        <v>0</v>
      </c>
      <c r="G417" s="4" cm="1">
        <f t="array" ref="G417">SUM((MMULT(ISNUMBER(SEARCH(TRANSPOSE(category!$E$2:$E$8), A417))*1, ROW(category!$E$2:$E$8)^0)&gt;0)*1)</f>
        <v>0</v>
      </c>
      <c r="H417" s="4" cm="1">
        <f t="array" ref="H417">SUM((MMULT(ISNUMBER(SEARCH(TRANSPOSE(category!$F$2:$F$9), A417))*1, ROW(category!$F$2:$F$9)^0)&gt;0)*1)</f>
        <v>0</v>
      </c>
    </row>
    <row r="418" spans="1:8" x14ac:dyDescent="0.45">
      <c r="A418" t="s">
        <v>862</v>
      </c>
      <c r="B418" s="6">
        <f t="shared" si="6"/>
        <v>8</v>
      </c>
      <c r="C418" s="4" cm="1">
        <f t="array" ref="C418">SUM((MMULT(ISNUMBER(SEARCH(TRANSPOSE(category!$A$2:$A$11), A418))*1, ROW(category!$A$2:$A$11)^0)&gt;0)*1)</f>
        <v>0</v>
      </c>
      <c r="D418" s="4" cm="1">
        <f t="array" ref="D418">SUM((MMULT(ISNUMBER(SEARCH(TRANSPOSE(category!$B$2:$B$25), A418))*1, ROW(category!$B$2:$B$25)^0)&gt;0)*1)</f>
        <v>1</v>
      </c>
      <c r="E418" s="4" cm="1">
        <f t="array" ref="E418">SUM((MMULT(ISNUMBER(SEARCH(TRANSPOSE(category!$C$2:$C$4), A418))*1, ROW(category!$C$2:$C$4)^0)&gt;0)*1)</f>
        <v>0</v>
      </c>
      <c r="F418" s="4" cm="1">
        <f t="array" ref="F418">SUM((MMULT(ISNUMBER(SEARCH(TRANSPOSE(category!$D$2:$D$10), A418))*1, ROW(category!$D$2:$D$10)^0)&gt;0)*1)</f>
        <v>0</v>
      </c>
      <c r="G418" s="4" cm="1">
        <f t="array" ref="G418">SUM((MMULT(ISNUMBER(SEARCH(TRANSPOSE(category!$E$2:$E$8), A418))*1, ROW(category!$E$2:$E$8)^0)&gt;0)*1)</f>
        <v>0</v>
      </c>
      <c r="H418" s="4" cm="1">
        <f t="array" ref="H418">SUM((MMULT(ISNUMBER(SEARCH(TRANSPOSE(category!$F$2:$F$9), A418))*1, ROW(category!$F$2:$F$9)^0)&gt;0)*1)</f>
        <v>0</v>
      </c>
    </row>
    <row r="419" spans="1:8" x14ac:dyDescent="0.45">
      <c r="A419" t="s">
        <v>864</v>
      </c>
      <c r="B419" s="6">
        <f t="shared" si="6"/>
        <v>5</v>
      </c>
      <c r="C419" s="4" cm="1">
        <f t="array" ref="C419">SUM((MMULT(ISNUMBER(SEARCH(TRANSPOSE(category!$A$2:$A$11), A419))*1, ROW(category!$A$2:$A$11)^0)&gt;0)*1)</f>
        <v>0</v>
      </c>
      <c r="D419" s="4" cm="1">
        <f t="array" ref="D419">SUM((MMULT(ISNUMBER(SEARCH(TRANSPOSE(category!$B$2:$B$25), A419))*1, ROW(category!$B$2:$B$25)^0)&gt;0)*1)</f>
        <v>1</v>
      </c>
      <c r="E419" s="4" cm="1">
        <f t="array" ref="E419">SUM((MMULT(ISNUMBER(SEARCH(TRANSPOSE(category!$C$2:$C$4), A419))*1, ROW(category!$C$2:$C$4)^0)&gt;0)*1)</f>
        <v>0</v>
      </c>
      <c r="F419" s="4" cm="1">
        <f t="array" ref="F419">SUM((MMULT(ISNUMBER(SEARCH(TRANSPOSE(category!$D$2:$D$10), A419))*1, ROW(category!$D$2:$D$10)^0)&gt;0)*1)</f>
        <v>0</v>
      </c>
      <c r="G419" s="4" cm="1">
        <f t="array" ref="G419">SUM((MMULT(ISNUMBER(SEARCH(TRANSPOSE(category!$E$2:$E$8), A419))*1, ROW(category!$E$2:$E$8)^0)&gt;0)*1)</f>
        <v>0</v>
      </c>
      <c r="H419" s="4" cm="1">
        <f t="array" ref="H419">SUM((MMULT(ISNUMBER(SEARCH(TRANSPOSE(category!$F$2:$F$9), A419))*1, ROW(category!$F$2:$F$9)^0)&gt;0)*1)</f>
        <v>0</v>
      </c>
    </row>
    <row r="420" spans="1:8" x14ac:dyDescent="0.45">
      <c r="A420" t="s">
        <v>866</v>
      </c>
      <c r="B420" s="6">
        <f t="shared" si="6"/>
        <v>3</v>
      </c>
      <c r="C420" s="4" cm="1">
        <f t="array" ref="C420">SUM((MMULT(ISNUMBER(SEARCH(TRANSPOSE(category!$A$2:$A$11), A420))*1, ROW(category!$A$2:$A$11)^0)&gt;0)*1)</f>
        <v>0</v>
      </c>
      <c r="D420" s="4" cm="1">
        <f t="array" ref="D420">SUM((MMULT(ISNUMBER(SEARCH(TRANSPOSE(category!$B$2:$B$25), A420))*1, ROW(category!$B$2:$B$25)^0)&gt;0)*1)</f>
        <v>1</v>
      </c>
      <c r="E420" s="4" cm="1">
        <f t="array" ref="E420">SUM((MMULT(ISNUMBER(SEARCH(TRANSPOSE(category!$C$2:$C$4), A420))*1, ROW(category!$C$2:$C$4)^0)&gt;0)*1)</f>
        <v>0</v>
      </c>
      <c r="F420" s="4" cm="1">
        <f t="array" ref="F420">SUM((MMULT(ISNUMBER(SEARCH(TRANSPOSE(category!$D$2:$D$10), A420))*1, ROW(category!$D$2:$D$10)^0)&gt;0)*1)</f>
        <v>0</v>
      </c>
      <c r="G420" s="4" cm="1">
        <f t="array" ref="G420">SUM((MMULT(ISNUMBER(SEARCH(TRANSPOSE(category!$E$2:$E$8), A420))*1, ROW(category!$E$2:$E$8)^0)&gt;0)*1)</f>
        <v>0</v>
      </c>
      <c r="H420" s="4" cm="1">
        <f t="array" ref="H420">SUM((MMULT(ISNUMBER(SEARCH(TRANSPOSE(category!$F$2:$F$9), A420))*1, ROW(category!$F$2:$F$9)^0)&gt;0)*1)</f>
        <v>0</v>
      </c>
    </row>
    <row r="421" spans="1:8" x14ac:dyDescent="0.45">
      <c r="A421" t="s">
        <v>868</v>
      </c>
      <c r="B421" s="6">
        <f t="shared" si="6"/>
        <v>6</v>
      </c>
      <c r="C421" s="4" cm="1">
        <f t="array" ref="C421">SUM((MMULT(ISNUMBER(SEARCH(TRANSPOSE(category!$A$2:$A$11), A421))*1, ROW(category!$A$2:$A$11)^0)&gt;0)*1)</f>
        <v>0</v>
      </c>
      <c r="D421" s="4" cm="1">
        <f t="array" ref="D421">SUM((MMULT(ISNUMBER(SEARCH(TRANSPOSE(category!$B$2:$B$25), A421))*1, ROW(category!$B$2:$B$25)^0)&gt;0)*1)</f>
        <v>0</v>
      </c>
      <c r="E421" s="4" cm="1">
        <f t="array" ref="E421">SUM((MMULT(ISNUMBER(SEARCH(TRANSPOSE(category!$C$2:$C$4), A421))*1, ROW(category!$C$2:$C$4)^0)&gt;0)*1)</f>
        <v>0</v>
      </c>
      <c r="F421" s="4" cm="1">
        <f t="array" ref="F421">SUM((MMULT(ISNUMBER(SEARCH(TRANSPOSE(category!$D$2:$D$10), A421))*1, ROW(category!$D$2:$D$10)^0)&gt;0)*1)</f>
        <v>0</v>
      </c>
      <c r="G421" s="4" cm="1">
        <f t="array" ref="G421">SUM((MMULT(ISNUMBER(SEARCH(TRANSPOSE(category!$E$2:$E$8), A421))*1, ROW(category!$E$2:$E$8)^0)&gt;0)*1)</f>
        <v>0</v>
      </c>
      <c r="H421" s="4" cm="1">
        <f t="array" ref="H421">SUM((MMULT(ISNUMBER(SEARCH(TRANSPOSE(category!$F$2:$F$9), A421))*1, ROW(category!$F$2:$F$9)^0)&gt;0)*1)</f>
        <v>1</v>
      </c>
    </row>
    <row r="422" spans="1:8" x14ac:dyDescent="0.45">
      <c r="A422" t="s">
        <v>870</v>
      </c>
      <c r="B422" s="6">
        <f t="shared" si="6"/>
        <v>6</v>
      </c>
      <c r="C422" s="4" cm="1">
        <f t="array" ref="C422">SUM((MMULT(ISNUMBER(SEARCH(TRANSPOSE(category!$A$2:$A$11), A422))*1, ROW(category!$A$2:$A$11)^0)&gt;0)*1)</f>
        <v>0</v>
      </c>
      <c r="D422" s="4" cm="1">
        <f t="array" ref="D422">SUM((MMULT(ISNUMBER(SEARCH(TRANSPOSE(category!$B$2:$B$25), A422))*1, ROW(category!$B$2:$B$25)^0)&gt;0)*1)</f>
        <v>1</v>
      </c>
      <c r="E422" s="4" cm="1">
        <f t="array" ref="E422">SUM((MMULT(ISNUMBER(SEARCH(TRANSPOSE(category!$C$2:$C$4), A422))*1, ROW(category!$C$2:$C$4)^0)&gt;0)*1)</f>
        <v>0</v>
      </c>
      <c r="F422" s="4" cm="1">
        <f t="array" ref="F422">SUM((MMULT(ISNUMBER(SEARCH(TRANSPOSE(category!$D$2:$D$10), A422))*1, ROW(category!$D$2:$D$10)^0)&gt;0)*1)</f>
        <v>0</v>
      </c>
      <c r="G422" s="4" cm="1">
        <f t="array" ref="G422">SUM((MMULT(ISNUMBER(SEARCH(TRANSPOSE(category!$E$2:$E$8), A422))*1, ROW(category!$E$2:$E$8)^0)&gt;0)*1)</f>
        <v>0</v>
      </c>
      <c r="H422" s="4" cm="1">
        <f t="array" ref="H422">SUM((MMULT(ISNUMBER(SEARCH(TRANSPOSE(category!$F$2:$F$9), A422))*1, ROW(category!$F$2:$F$9)^0)&gt;0)*1)</f>
        <v>0</v>
      </c>
    </row>
    <row r="423" spans="1:8" x14ac:dyDescent="0.45">
      <c r="A423" t="s">
        <v>872</v>
      </c>
      <c r="B423" s="6">
        <f t="shared" si="6"/>
        <v>5</v>
      </c>
      <c r="C423" s="4" cm="1">
        <f t="array" ref="C423">SUM((MMULT(ISNUMBER(SEARCH(TRANSPOSE(category!$A$2:$A$11), A423))*1, ROW(category!$A$2:$A$11)^0)&gt;0)*1)</f>
        <v>0</v>
      </c>
      <c r="D423" s="4" cm="1">
        <f t="array" ref="D423">SUM((MMULT(ISNUMBER(SEARCH(TRANSPOSE(category!$B$2:$B$25), A423))*1, ROW(category!$B$2:$B$25)^0)&gt;0)*1)</f>
        <v>1</v>
      </c>
      <c r="E423" s="4" cm="1">
        <f t="array" ref="E423">SUM((MMULT(ISNUMBER(SEARCH(TRANSPOSE(category!$C$2:$C$4), A423))*1, ROW(category!$C$2:$C$4)^0)&gt;0)*1)</f>
        <v>0</v>
      </c>
      <c r="F423" s="4" cm="1">
        <f t="array" ref="F423">SUM((MMULT(ISNUMBER(SEARCH(TRANSPOSE(category!$D$2:$D$10), A423))*1, ROW(category!$D$2:$D$10)^0)&gt;0)*1)</f>
        <v>0</v>
      </c>
      <c r="G423" s="4" cm="1">
        <f t="array" ref="G423">SUM((MMULT(ISNUMBER(SEARCH(TRANSPOSE(category!$E$2:$E$8), A423))*1, ROW(category!$E$2:$E$8)^0)&gt;0)*1)</f>
        <v>0</v>
      </c>
      <c r="H423" s="4" cm="1">
        <f t="array" ref="H423">SUM((MMULT(ISNUMBER(SEARCH(TRANSPOSE(category!$F$2:$F$9), A423))*1, ROW(category!$F$2:$F$9)^0)&gt;0)*1)</f>
        <v>0</v>
      </c>
    </row>
    <row r="424" spans="1:8" x14ac:dyDescent="0.45">
      <c r="A424" t="s">
        <v>874</v>
      </c>
      <c r="B424" s="6">
        <f t="shared" si="6"/>
        <v>3</v>
      </c>
      <c r="C424" s="4" cm="1">
        <f t="array" ref="C424">SUM((MMULT(ISNUMBER(SEARCH(TRANSPOSE(category!$A$2:$A$11), A424))*1, ROW(category!$A$2:$A$11)^0)&gt;0)*1)</f>
        <v>0</v>
      </c>
      <c r="D424" s="4" cm="1">
        <f t="array" ref="D424">SUM((MMULT(ISNUMBER(SEARCH(TRANSPOSE(category!$B$2:$B$25), A424))*1, ROW(category!$B$2:$B$25)^0)&gt;0)*1)</f>
        <v>1</v>
      </c>
      <c r="E424" s="4" cm="1">
        <f t="array" ref="E424">SUM((MMULT(ISNUMBER(SEARCH(TRANSPOSE(category!$C$2:$C$4), A424))*1, ROW(category!$C$2:$C$4)^0)&gt;0)*1)</f>
        <v>0</v>
      </c>
      <c r="F424" s="4" cm="1">
        <f t="array" ref="F424">SUM((MMULT(ISNUMBER(SEARCH(TRANSPOSE(category!$D$2:$D$10), A424))*1, ROW(category!$D$2:$D$10)^0)&gt;0)*1)</f>
        <v>0</v>
      </c>
      <c r="G424" s="4" cm="1">
        <f t="array" ref="G424">SUM((MMULT(ISNUMBER(SEARCH(TRANSPOSE(category!$E$2:$E$8), A424))*1, ROW(category!$E$2:$E$8)^0)&gt;0)*1)</f>
        <v>0</v>
      </c>
      <c r="H424" s="4" cm="1">
        <f t="array" ref="H424">SUM((MMULT(ISNUMBER(SEARCH(TRANSPOSE(category!$F$2:$F$9), A424))*1, ROW(category!$F$2:$F$9)^0)&gt;0)*1)</f>
        <v>0</v>
      </c>
    </row>
    <row r="425" spans="1:8" x14ac:dyDescent="0.45">
      <c r="A425" t="s">
        <v>876</v>
      </c>
      <c r="B425" s="6">
        <f t="shared" si="6"/>
        <v>2</v>
      </c>
      <c r="C425" s="4" cm="1">
        <f t="array" ref="C425">SUM((MMULT(ISNUMBER(SEARCH(TRANSPOSE(category!$A$2:$A$11), A425))*1, ROW(category!$A$2:$A$11)^0)&gt;0)*1)</f>
        <v>0</v>
      </c>
      <c r="D425" s="4" cm="1">
        <f t="array" ref="D425">SUM((MMULT(ISNUMBER(SEARCH(TRANSPOSE(category!$B$2:$B$25), A425))*1, ROW(category!$B$2:$B$25)^0)&gt;0)*1)</f>
        <v>0</v>
      </c>
      <c r="E425" s="4" cm="1">
        <f t="array" ref="E425">SUM((MMULT(ISNUMBER(SEARCH(TRANSPOSE(category!$C$2:$C$4), A425))*1, ROW(category!$C$2:$C$4)^0)&gt;0)*1)</f>
        <v>0</v>
      </c>
      <c r="F425" s="4" cm="1">
        <f t="array" ref="F425">SUM((MMULT(ISNUMBER(SEARCH(TRANSPOSE(category!$D$2:$D$10), A425))*1, ROW(category!$D$2:$D$10)^0)&gt;0)*1)</f>
        <v>0</v>
      </c>
      <c r="G425" s="4" cm="1">
        <f t="array" ref="G425">SUM((MMULT(ISNUMBER(SEARCH(TRANSPOSE(category!$E$2:$E$8), A425))*1, ROW(category!$E$2:$E$8)^0)&gt;0)*1)</f>
        <v>0</v>
      </c>
      <c r="H425" s="4" cm="1">
        <f t="array" ref="H425">SUM((MMULT(ISNUMBER(SEARCH(TRANSPOSE(category!$F$2:$F$9), A425))*1, ROW(category!$F$2:$F$9)^0)&gt;0)*1)</f>
        <v>0</v>
      </c>
    </row>
    <row r="426" spans="1:8" x14ac:dyDescent="0.45">
      <c r="A426" t="s">
        <v>806</v>
      </c>
      <c r="B426" s="6">
        <f t="shared" si="6"/>
        <v>2</v>
      </c>
      <c r="C426" s="4" cm="1">
        <f t="array" ref="C426">SUM((MMULT(ISNUMBER(SEARCH(TRANSPOSE(category!$A$2:$A$11), A426))*1, ROW(category!$A$2:$A$11)^0)&gt;0)*1)</f>
        <v>0</v>
      </c>
      <c r="D426" s="4" cm="1">
        <f t="array" ref="D426">SUM((MMULT(ISNUMBER(SEARCH(TRANSPOSE(category!$B$2:$B$25), A426))*1, ROW(category!$B$2:$B$25)^0)&gt;0)*1)</f>
        <v>1</v>
      </c>
      <c r="E426" s="4" cm="1">
        <f t="array" ref="E426">SUM((MMULT(ISNUMBER(SEARCH(TRANSPOSE(category!$C$2:$C$4), A426))*1, ROW(category!$C$2:$C$4)^0)&gt;0)*1)</f>
        <v>0</v>
      </c>
      <c r="F426" s="4" cm="1">
        <f t="array" ref="F426">SUM((MMULT(ISNUMBER(SEARCH(TRANSPOSE(category!$D$2:$D$10), A426))*1, ROW(category!$D$2:$D$10)^0)&gt;0)*1)</f>
        <v>0</v>
      </c>
      <c r="G426" s="4" cm="1">
        <f t="array" ref="G426">SUM((MMULT(ISNUMBER(SEARCH(TRANSPOSE(category!$E$2:$E$8), A426))*1, ROW(category!$E$2:$E$8)^0)&gt;0)*1)</f>
        <v>0</v>
      </c>
      <c r="H426" s="4" cm="1">
        <f t="array" ref="H426">SUM((MMULT(ISNUMBER(SEARCH(TRANSPOSE(category!$F$2:$F$9), A426))*1, ROW(category!$F$2:$F$9)^0)&gt;0)*1)</f>
        <v>0</v>
      </c>
    </row>
    <row r="427" spans="1:8" x14ac:dyDescent="0.45">
      <c r="A427" t="s">
        <v>879</v>
      </c>
      <c r="B427" s="6">
        <f t="shared" si="6"/>
        <v>4</v>
      </c>
      <c r="C427" s="4" cm="1">
        <f t="array" ref="C427">SUM((MMULT(ISNUMBER(SEARCH(TRANSPOSE(category!$A$2:$A$11), A427))*1, ROW(category!$A$2:$A$11)^0)&gt;0)*1)</f>
        <v>0</v>
      </c>
      <c r="D427" s="4" cm="1">
        <f t="array" ref="D427">SUM((MMULT(ISNUMBER(SEARCH(TRANSPOSE(category!$B$2:$B$25), A427))*1, ROW(category!$B$2:$B$25)^0)&gt;0)*1)</f>
        <v>0</v>
      </c>
      <c r="E427" s="4" cm="1">
        <f t="array" ref="E427">SUM((MMULT(ISNUMBER(SEARCH(TRANSPOSE(category!$C$2:$C$4), A427))*1, ROW(category!$C$2:$C$4)^0)&gt;0)*1)</f>
        <v>0</v>
      </c>
      <c r="F427" s="4" cm="1">
        <f t="array" ref="F427">SUM((MMULT(ISNUMBER(SEARCH(TRANSPOSE(category!$D$2:$D$10), A427))*1, ROW(category!$D$2:$D$10)^0)&gt;0)*1)</f>
        <v>0</v>
      </c>
      <c r="G427" s="4" cm="1">
        <f t="array" ref="G427">SUM((MMULT(ISNUMBER(SEARCH(TRANSPOSE(category!$E$2:$E$8), A427))*1, ROW(category!$E$2:$E$8)^0)&gt;0)*1)</f>
        <v>0</v>
      </c>
      <c r="H427" s="4" cm="1">
        <f t="array" ref="H427">SUM((MMULT(ISNUMBER(SEARCH(TRANSPOSE(category!$F$2:$F$9), A427))*1, ROW(category!$F$2:$F$9)^0)&gt;0)*1)</f>
        <v>0</v>
      </c>
    </row>
    <row r="428" spans="1:8" x14ac:dyDescent="0.45">
      <c r="A428" t="s">
        <v>848</v>
      </c>
      <c r="B428" s="6">
        <f t="shared" si="6"/>
        <v>1</v>
      </c>
      <c r="C428" s="4" cm="1">
        <f t="array" ref="C428">SUM((MMULT(ISNUMBER(SEARCH(TRANSPOSE(category!$A$2:$A$11), A428))*1, ROW(category!$A$2:$A$11)^0)&gt;0)*1)</f>
        <v>0</v>
      </c>
      <c r="D428" s="4" cm="1">
        <f t="array" ref="D428">SUM((MMULT(ISNUMBER(SEARCH(TRANSPOSE(category!$B$2:$B$25), A428))*1, ROW(category!$B$2:$B$25)^0)&gt;0)*1)</f>
        <v>1</v>
      </c>
      <c r="E428" s="4" cm="1">
        <f t="array" ref="E428">SUM((MMULT(ISNUMBER(SEARCH(TRANSPOSE(category!$C$2:$C$4), A428))*1, ROW(category!$C$2:$C$4)^0)&gt;0)*1)</f>
        <v>0</v>
      </c>
      <c r="F428" s="4" cm="1">
        <f t="array" ref="F428">SUM((MMULT(ISNUMBER(SEARCH(TRANSPOSE(category!$D$2:$D$10), A428))*1, ROW(category!$D$2:$D$10)^0)&gt;0)*1)</f>
        <v>0</v>
      </c>
      <c r="G428" s="4" cm="1">
        <f t="array" ref="G428">SUM((MMULT(ISNUMBER(SEARCH(TRANSPOSE(category!$E$2:$E$8), A428))*1, ROW(category!$E$2:$E$8)^0)&gt;0)*1)</f>
        <v>0</v>
      </c>
      <c r="H428" s="4" cm="1">
        <f t="array" ref="H428">SUM((MMULT(ISNUMBER(SEARCH(TRANSPOSE(category!$F$2:$F$9), A428))*1, ROW(category!$F$2:$F$9)^0)&gt;0)*1)</f>
        <v>0</v>
      </c>
    </row>
    <row r="429" spans="1:8" x14ac:dyDescent="0.45">
      <c r="A429" t="s">
        <v>882</v>
      </c>
      <c r="B429" s="6">
        <f t="shared" si="6"/>
        <v>7</v>
      </c>
      <c r="C429" s="4" cm="1">
        <f t="array" ref="C429">SUM((MMULT(ISNUMBER(SEARCH(TRANSPOSE(category!$A$2:$A$11), A429))*1, ROW(category!$A$2:$A$11)^0)&gt;0)*1)</f>
        <v>1</v>
      </c>
      <c r="D429" s="4" cm="1">
        <f t="array" ref="D429">SUM((MMULT(ISNUMBER(SEARCH(TRANSPOSE(category!$B$2:$B$25), A429))*1, ROW(category!$B$2:$B$25)^0)&gt;0)*1)</f>
        <v>1</v>
      </c>
      <c r="E429" s="4" cm="1">
        <f t="array" ref="E429">SUM((MMULT(ISNUMBER(SEARCH(TRANSPOSE(category!$C$2:$C$4), A429))*1, ROW(category!$C$2:$C$4)^0)&gt;0)*1)</f>
        <v>0</v>
      </c>
      <c r="F429" s="4" cm="1">
        <f t="array" ref="F429">SUM((MMULT(ISNUMBER(SEARCH(TRANSPOSE(category!$D$2:$D$10), A429))*1, ROW(category!$D$2:$D$10)^0)&gt;0)*1)</f>
        <v>1</v>
      </c>
      <c r="G429" s="4" cm="1">
        <f t="array" ref="G429">SUM((MMULT(ISNUMBER(SEARCH(TRANSPOSE(category!$E$2:$E$8), A429))*1, ROW(category!$E$2:$E$8)^0)&gt;0)*1)</f>
        <v>0</v>
      </c>
      <c r="H429" s="4" cm="1">
        <f t="array" ref="H429">SUM((MMULT(ISNUMBER(SEARCH(TRANSPOSE(category!$F$2:$F$9), A429))*1, ROW(category!$F$2:$F$9)^0)&gt;0)*1)</f>
        <v>0</v>
      </c>
    </row>
    <row r="430" spans="1:8" x14ac:dyDescent="0.45">
      <c r="A430" t="s">
        <v>884</v>
      </c>
      <c r="B430" s="6">
        <f t="shared" si="6"/>
        <v>3</v>
      </c>
      <c r="C430" s="4" cm="1">
        <f t="array" ref="C430">SUM((MMULT(ISNUMBER(SEARCH(TRANSPOSE(category!$A$2:$A$11), A430))*1, ROW(category!$A$2:$A$11)^0)&gt;0)*1)</f>
        <v>0</v>
      </c>
      <c r="D430" s="4" cm="1">
        <f t="array" ref="D430">SUM((MMULT(ISNUMBER(SEARCH(TRANSPOSE(category!$B$2:$B$25), A430))*1, ROW(category!$B$2:$B$25)^0)&gt;0)*1)</f>
        <v>0</v>
      </c>
      <c r="E430" s="4" cm="1">
        <f t="array" ref="E430">SUM((MMULT(ISNUMBER(SEARCH(TRANSPOSE(category!$C$2:$C$4), A430))*1, ROW(category!$C$2:$C$4)^0)&gt;0)*1)</f>
        <v>0</v>
      </c>
      <c r="F430" s="4" cm="1">
        <f t="array" ref="F430">SUM((MMULT(ISNUMBER(SEARCH(TRANSPOSE(category!$D$2:$D$10), A430))*1, ROW(category!$D$2:$D$10)^0)&gt;0)*1)</f>
        <v>0</v>
      </c>
      <c r="G430" s="4" cm="1">
        <f t="array" ref="G430">SUM((MMULT(ISNUMBER(SEARCH(TRANSPOSE(category!$E$2:$E$8), A430))*1, ROW(category!$E$2:$E$8)^0)&gt;0)*1)</f>
        <v>0</v>
      </c>
      <c r="H430" s="4" cm="1">
        <f t="array" ref="H430">SUM((MMULT(ISNUMBER(SEARCH(TRANSPOSE(category!$F$2:$F$9), A430))*1, ROW(category!$F$2:$F$9)^0)&gt;0)*1)</f>
        <v>0</v>
      </c>
    </row>
    <row r="431" spans="1:8" x14ac:dyDescent="0.45">
      <c r="A431" t="s">
        <v>676</v>
      </c>
      <c r="B431" s="6">
        <f t="shared" si="6"/>
        <v>5</v>
      </c>
      <c r="C431" s="4" cm="1">
        <f t="array" ref="C431">SUM((MMULT(ISNUMBER(SEARCH(TRANSPOSE(category!$A$2:$A$11), A431))*1, ROW(category!$A$2:$A$11)^0)&gt;0)*1)</f>
        <v>0</v>
      </c>
      <c r="D431" s="4" cm="1">
        <f t="array" ref="D431">SUM((MMULT(ISNUMBER(SEARCH(TRANSPOSE(category!$B$2:$B$25), A431))*1, ROW(category!$B$2:$B$25)^0)&gt;0)*1)</f>
        <v>1</v>
      </c>
      <c r="E431" s="4" cm="1">
        <f t="array" ref="E431">SUM((MMULT(ISNUMBER(SEARCH(TRANSPOSE(category!$C$2:$C$4), A431))*1, ROW(category!$C$2:$C$4)^0)&gt;0)*1)</f>
        <v>0</v>
      </c>
      <c r="F431" s="4" cm="1">
        <f t="array" ref="F431">SUM((MMULT(ISNUMBER(SEARCH(TRANSPOSE(category!$D$2:$D$10), A431))*1, ROW(category!$D$2:$D$10)^0)&gt;0)*1)</f>
        <v>0</v>
      </c>
      <c r="G431" s="4" cm="1">
        <f t="array" ref="G431">SUM((MMULT(ISNUMBER(SEARCH(TRANSPOSE(category!$E$2:$E$8), A431))*1, ROW(category!$E$2:$E$8)^0)&gt;0)*1)</f>
        <v>0</v>
      </c>
      <c r="H431" s="4" cm="1">
        <f t="array" ref="H431">SUM((MMULT(ISNUMBER(SEARCH(TRANSPOSE(category!$F$2:$F$9), A431))*1, ROW(category!$F$2:$F$9)^0)&gt;0)*1)</f>
        <v>0</v>
      </c>
    </row>
    <row r="432" spans="1:8" x14ac:dyDescent="0.45">
      <c r="A432" t="s">
        <v>676</v>
      </c>
      <c r="B432" s="6">
        <f t="shared" si="6"/>
        <v>5</v>
      </c>
      <c r="C432" s="4" cm="1">
        <f t="array" ref="C432">SUM((MMULT(ISNUMBER(SEARCH(TRANSPOSE(category!$A$2:$A$11), A432))*1, ROW(category!$A$2:$A$11)^0)&gt;0)*1)</f>
        <v>0</v>
      </c>
      <c r="D432" s="4" cm="1">
        <f t="array" ref="D432">SUM((MMULT(ISNUMBER(SEARCH(TRANSPOSE(category!$B$2:$B$25), A432))*1, ROW(category!$B$2:$B$25)^0)&gt;0)*1)</f>
        <v>1</v>
      </c>
      <c r="E432" s="4" cm="1">
        <f t="array" ref="E432">SUM((MMULT(ISNUMBER(SEARCH(TRANSPOSE(category!$C$2:$C$4), A432))*1, ROW(category!$C$2:$C$4)^0)&gt;0)*1)</f>
        <v>0</v>
      </c>
      <c r="F432" s="4" cm="1">
        <f t="array" ref="F432">SUM((MMULT(ISNUMBER(SEARCH(TRANSPOSE(category!$D$2:$D$10), A432))*1, ROW(category!$D$2:$D$10)^0)&gt;0)*1)</f>
        <v>0</v>
      </c>
      <c r="G432" s="4" cm="1">
        <f t="array" ref="G432">SUM((MMULT(ISNUMBER(SEARCH(TRANSPOSE(category!$E$2:$E$8), A432))*1, ROW(category!$E$2:$E$8)^0)&gt;0)*1)</f>
        <v>0</v>
      </c>
      <c r="H432" s="4" cm="1">
        <f t="array" ref="H432">SUM((MMULT(ISNUMBER(SEARCH(TRANSPOSE(category!$F$2:$F$9), A432))*1, ROW(category!$F$2:$F$9)^0)&gt;0)*1)</f>
        <v>0</v>
      </c>
    </row>
    <row r="433" spans="1:8" x14ac:dyDescent="0.45">
      <c r="A433" t="s">
        <v>888</v>
      </c>
      <c r="B433" s="6">
        <f t="shared" si="6"/>
        <v>5</v>
      </c>
      <c r="C433" s="4" cm="1">
        <f t="array" ref="C433">SUM((MMULT(ISNUMBER(SEARCH(TRANSPOSE(category!$A$2:$A$11), A433))*1, ROW(category!$A$2:$A$11)^0)&gt;0)*1)</f>
        <v>1</v>
      </c>
      <c r="D433" s="4" cm="1">
        <f t="array" ref="D433">SUM((MMULT(ISNUMBER(SEARCH(TRANSPOSE(category!$B$2:$B$25), A433))*1, ROW(category!$B$2:$B$25)^0)&gt;0)*1)</f>
        <v>1</v>
      </c>
      <c r="E433" s="4" cm="1">
        <f t="array" ref="E433">SUM((MMULT(ISNUMBER(SEARCH(TRANSPOSE(category!$C$2:$C$4), A433))*1, ROW(category!$C$2:$C$4)^0)&gt;0)*1)</f>
        <v>1</v>
      </c>
      <c r="F433" s="4" cm="1">
        <f t="array" ref="F433">SUM((MMULT(ISNUMBER(SEARCH(TRANSPOSE(category!$D$2:$D$10), A433))*1, ROW(category!$D$2:$D$10)^0)&gt;0)*1)</f>
        <v>0</v>
      </c>
      <c r="G433" s="4" cm="1">
        <f t="array" ref="G433">SUM((MMULT(ISNUMBER(SEARCH(TRANSPOSE(category!$E$2:$E$8), A433))*1, ROW(category!$E$2:$E$8)^0)&gt;0)*1)</f>
        <v>0</v>
      </c>
      <c r="H433" s="4" cm="1">
        <f t="array" ref="H433">SUM((MMULT(ISNUMBER(SEARCH(TRANSPOSE(category!$F$2:$F$9), A433))*1, ROW(category!$F$2:$F$9)^0)&gt;0)*1)</f>
        <v>0</v>
      </c>
    </row>
    <row r="434" spans="1:8" x14ac:dyDescent="0.45">
      <c r="A434" t="s">
        <v>890</v>
      </c>
      <c r="B434" s="6">
        <f t="shared" si="6"/>
        <v>4</v>
      </c>
      <c r="C434" s="4" cm="1">
        <f t="array" ref="C434">SUM((MMULT(ISNUMBER(SEARCH(TRANSPOSE(category!$A$2:$A$11), A434))*1, ROW(category!$A$2:$A$11)^0)&gt;0)*1)</f>
        <v>0</v>
      </c>
      <c r="D434" s="4" cm="1">
        <f t="array" ref="D434">SUM((MMULT(ISNUMBER(SEARCH(TRANSPOSE(category!$B$2:$B$25), A434))*1, ROW(category!$B$2:$B$25)^0)&gt;0)*1)</f>
        <v>1</v>
      </c>
      <c r="E434" s="4" cm="1">
        <f t="array" ref="E434">SUM((MMULT(ISNUMBER(SEARCH(TRANSPOSE(category!$C$2:$C$4), A434))*1, ROW(category!$C$2:$C$4)^0)&gt;0)*1)</f>
        <v>0</v>
      </c>
      <c r="F434" s="4" cm="1">
        <f t="array" ref="F434">SUM((MMULT(ISNUMBER(SEARCH(TRANSPOSE(category!$D$2:$D$10), A434))*1, ROW(category!$D$2:$D$10)^0)&gt;0)*1)</f>
        <v>0</v>
      </c>
      <c r="G434" s="4" cm="1">
        <f t="array" ref="G434">SUM((MMULT(ISNUMBER(SEARCH(TRANSPOSE(category!$E$2:$E$8), A434))*1, ROW(category!$E$2:$E$8)^0)&gt;0)*1)</f>
        <v>0</v>
      </c>
      <c r="H434" s="4" cm="1">
        <f t="array" ref="H434">SUM((MMULT(ISNUMBER(SEARCH(TRANSPOSE(category!$F$2:$F$9), A434))*1, ROW(category!$F$2:$F$9)^0)&gt;0)*1)</f>
        <v>0</v>
      </c>
    </row>
    <row r="435" spans="1:8" x14ac:dyDescent="0.45">
      <c r="A435" t="s">
        <v>892</v>
      </c>
      <c r="B435" s="6">
        <f t="shared" si="6"/>
        <v>5</v>
      </c>
      <c r="C435" s="4" cm="1">
        <f t="array" ref="C435">SUM((MMULT(ISNUMBER(SEARCH(TRANSPOSE(category!$A$2:$A$11), A435))*1, ROW(category!$A$2:$A$11)^0)&gt;0)*1)</f>
        <v>0</v>
      </c>
      <c r="D435" s="4" cm="1">
        <f t="array" ref="D435">SUM((MMULT(ISNUMBER(SEARCH(TRANSPOSE(category!$B$2:$B$25), A435))*1, ROW(category!$B$2:$B$25)^0)&gt;0)*1)</f>
        <v>1</v>
      </c>
      <c r="E435" s="4" cm="1">
        <f t="array" ref="E435">SUM((MMULT(ISNUMBER(SEARCH(TRANSPOSE(category!$C$2:$C$4), A435))*1, ROW(category!$C$2:$C$4)^0)&gt;0)*1)</f>
        <v>0</v>
      </c>
      <c r="F435" s="4" cm="1">
        <f t="array" ref="F435">SUM((MMULT(ISNUMBER(SEARCH(TRANSPOSE(category!$D$2:$D$10), A435))*1, ROW(category!$D$2:$D$10)^0)&gt;0)*1)</f>
        <v>0</v>
      </c>
      <c r="G435" s="4" cm="1">
        <f t="array" ref="G435">SUM((MMULT(ISNUMBER(SEARCH(TRANSPOSE(category!$E$2:$E$8), A435))*1, ROW(category!$E$2:$E$8)^0)&gt;0)*1)</f>
        <v>0</v>
      </c>
      <c r="H435" s="4" cm="1">
        <f t="array" ref="H435">SUM((MMULT(ISNUMBER(SEARCH(TRANSPOSE(category!$F$2:$F$9), A435))*1, ROW(category!$F$2:$F$9)^0)&gt;0)*1)</f>
        <v>0</v>
      </c>
    </row>
    <row r="436" spans="1:8" x14ac:dyDescent="0.45">
      <c r="A436" t="s">
        <v>894</v>
      </c>
      <c r="B436" s="6">
        <f t="shared" si="6"/>
        <v>5</v>
      </c>
      <c r="C436" s="4" cm="1">
        <f t="array" ref="C436">SUM((MMULT(ISNUMBER(SEARCH(TRANSPOSE(category!$A$2:$A$11), A436))*1, ROW(category!$A$2:$A$11)^0)&gt;0)*1)</f>
        <v>0</v>
      </c>
      <c r="D436" s="4" cm="1">
        <f t="array" ref="D436">SUM((MMULT(ISNUMBER(SEARCH(TRANSPOSE(category!$B$2:$B$25), A436))*1, ROW(category!$B$2:$B$25)^0)&gt;0)*1)</f>
        <v>1</v>
      </c>
      <c r="E436" s="4" cm="1">
        <f t="array" ref="E436">SUM((MMULT(ISNUMBER(SEARCH(TRANSPOSE(category!$C$2:$C$4), A436))*1, ROW(category!$C$2:$C$4)^0)&gt;0)*1)</f>
        <v>0</v>
      </c>
      <c r="F436" s="4" cm="1">
        <f t="array" ref="F436">SUM((MMULT(ISNUMBER(SEARCH(TRANSPOSE(category!$D$2:$D$10), A436))*1, ROW(category!$D$2:$D$10)^0)&gt;0)*1)</f>
        <v>0</v>
      </c>
      <c r="G436" s="4" cm="1">
        <f t="array" ref="G436">SUM((MMULT(ISNUMBER(SEARCH(TRANSPOSE(category!$E$2:$E$8), A436))*1, ROW(category!$E$2:$E$8)^0)&gt;0)*1)</f>
        <v>0</v>
      </c>
      <c r="H436" s="4" cm="1">
        <f t="array" ref="H436">SUM((MMULT(ISNUMBER(SEARCH(TRANSPOSE(category!$F$2:$F$9), A436))*1, ROW(category!$F$2:$F$9)^0)&gt;0)*1)</f>
        <v>0</v>
      </c>
    </row>
    <row r="437" spans="1:8" x14ac:dyDescent="0.45">
      <c r="A437" t="s">
        <v>896</v>
      </c>
      <c r="B437" s="6">
        <f t="shared" si="6"/>
        <v>5</v>
      </c>
      <c r="C437" s="4" cm="1">
        <f t="array" ref="C437">SUM((MMULT(ISNUMBER(SEARCH(TRANSPOSE(category!$A$2:$A$11), A437))*1, ROW(category!$A$2:$A$11)^0)&gt;0)*1)</f>
        <v>0</v>
      </c>
      <c r="D437" s="4" cm="1">
        <f t="array" ref="D437">SUM((MMULT(ISNUMBER(SEARCH(TRANSPOSE(category!$B$2:$B$25), A437))*1, ROW(category!$B$2:$B$25)^0)&gt;0)*1)</f>
        <v>1</v>
      </c>
      <c r="E437" s="4" cm="1">
        <f t="array" ref="E437">SUM((MMULT(ISNUMBER(SEARCH(TRANSPOSE(category!$C$2:$C$4), A437))*1, ROW(category!$C$2:$C$4)^0)&gt;0)*1)</f>
        <v>0</v>
      </c>
      <c r="F437" s="4" cm="1">
        <f t="array" ref="F437">SUM((MMULT(ISNUMBER(SEARCH(TRANSPOSE(category!$D$2:$D$10), A437))*1, ROW(category!$D$2:$D$10)^0)&gt;0)*1)</f>
        <v>0</v>
      </c>
      <c r="G437" s="4" cm="1">
        <f t="array" ref="G437">SUM((MMULT(ISNUMBER(SEARCH(TRANSPOSE(category!$E$2:$E$8), A437))*1, ROW(category!$E$2:$E$8)^0)&gt;0)*1)</f>
        <v>0</v>
      </c>
      <c r="H437" s="4" cm="1">
        <f t="array" ref="H437">SUM((MMULT(ISNUMBER(SEARCH(TRANSPOSE(category!$F$2:$F$9), A437))*1, ROW(category!$F$2:$F$9)^0)&gt;0)*1)</f>
        <v>0</v>
      </c>
    </row>
    <row r="438" spans="1:8" x14ac:dyDescent="0.45">
      <c r="A438" t="s">
        <v>898</v>
      </c>
      <c r="B438" s="6">
        <f t="shared" si="6"/>
        <v>4</v>
      </c>
      <c r="C438" s="4" cm="1">
        <f t="array" ref="C438">SUM((MMULT(ISNUMBER(SEARCH(TRANSPOSE(category!$A$2:$A$11), A438))*1, ROW(category!$A$2:$A$11)^0)&gt;0)*1)</f>
        <v>1</v>
      </c>
      <c r="D438" s="4" cm="1">
        <f t="array" ref="D438">SUM((MMULT(ISNUMBER(SEARCH(TRANSPOSE(category!$B$2:$B$25), A438))*1, ROW(category!$B$2:$B$25)^0)&gt;0)*1)</f>
        <v>1</v>
      </c>
      <c r="E438" s="4" cm="1">
        <f t="array" ref="E438">SUM((MMULT(ISNUMBER(SEARCH(TRANSPOSE(category!$C$2:$C$4), A438))*1, ROW(category!$C$2:$C$4)^0)&gt;0)*1)</f>
        <v>0</v>
      </c>
      <c r="F438" s="4" cm="1">
        <f t="array" ref="F438">SUM((MMULT(ISNUMBER(SEARCH(TRANSPOSE(category!$D$2:$D$10), A438))*1, ROW(category!$D$2:$D$10)^0)&gt;0)*1)</f>
        <v>1</v>
      </c>
      <c r="G438" s="4" cm="1">
        <f t="array" ref="G438">SUM((MMULT(ISNUMBER(SEARCH(TRANSPOSE(category!$E$2:$E$8), A438))*1, ROW(category!$E$2:$E$8)^0)&gt;0)*1)</f>
        <v>0</v>
      </c>
      <c r="H438" s="4" cm="1">
        <f t="array" ref="H438">SUM((MMULT(ISNUMBER(SEARCH(TRANSPOSE(category!$F$2:$F$9), A438))*1, ROW(category!$F$2:$F$9)^0)&gt;0)*1)</f>
        <v>1</v>
      </c>
    </row>
    <row r="439" spans="1:8" x14ac:dyDescent="0.45">
      <c r="A439" t="s">
        <v>570</v>
      </c>
      <c r="B439" s="6">
        <f t="shared" si="6"/>
        <v>2</v>
      </c>
      <c r="C439" s="4" cm="1">
        <f t="array" ref="C439">SUM((MMULT(ISNUMBER(SEARCH(TRANSPOSE(category!$A$2:$A$11), A439))*1, ROW(category!$A$2:$A$11)^0)&gt;0)*1)</f>
        <v>0</v>
      </c>
      <c r="D439" s="4" cm="1">
        <f t="array" ref="D439">SUM((MMULT(ISNUMBER(SEARCH(TRANSPOSE(category!$B$2:$B$25), A439))*1, ROW(category!$B$2:$B$25)^0)&gt;0)*1)</f>
        <v>1</v>
      </c>
      <c r="E439" s="4" cm="1">
        <f t="array" ref="E439">SUM((MMULT(ISNUMBER(SEARCH(TRANSPOSE(category!$C$2:$C$4), A439))*1, ROW(category!$C$2:$C$4)^0)&gt;0)*1)</f>
        <v>0</v>
      </c>
      <c r="F439" s="4" cm="1">
        <f t="array" ref="F439">SUM((MMULT(ISNUMBER(SEARCH(TRANSPOSE(category!$D$2:$D$10), A439))*1, ROW(category!$D$2:$D$10)^0)&gt;0)*1)</f>
        <v>0</v>
      </c>
      <c r="G439" s="4" cm="1">
        <f t="array" ref="G439">SUM((MMULT(ISNUMBER(SEARCH(TRANSPOSE(category!$E$2:$E$8), A439))*1, ROW(category!$E$2:$E$8)^0)&gt;0)*1)</f>
        <v>0</v>
      </c>
      <c r="H439" s="4" cm="1">
        <f t="array" ref="H439">SUM((MMULT(ISNUMBER(SEARCH(TRANSPOSE(category!$F$2:$F$9), A439))*1, ROW(category!$F$2:$F$9)^0)&gt;0)*1)</f>
        <v>0</v>
      </c>
    </row>
    <row r="440" spans="1:8" x14ac:dyDescent="0.45">
      <c r="A440" t="s">
        <v>901</v>
      </c>
      <c r="B440" s="6">
        <f t="shared" si="6"/>
        <v>3</v>
      </c>
      <c r="C440" s="4" cm="1">
        <f t="array" ref="C440">SUM((MMULT(ISNUMBER(SEARCH(TRANSPOSE(category!$A$2:$A$11), A440))*1, ROW(category!$A$2:$A$11)^0)&gt;0)*1)</f>
        <v>0</v>
      </c>
      <c r="D440" s="4" cm="1">
        <f t="array" ref="D440">SUM((MMULT(ISNUMBER(SEARCH(TRANSPOSE(category!$B$2:$B$25), A440))*1, ROW(category!$B$2:$B$25)^0)&gt;0)*1)</f>
        <v>1</v>
      </c>
      <c r="E440" s="4" cm="1">
        <f t="array" ref="E440">SUM((MMULT(ISNUMBER(SEARCH(TRANSPOSE(category!$C$2:$C$4), A440))*1, ROW(category!$C$2:$C$4)^0)&gt;0)*1)</f>
        <v>1</v>
      </c>
      <c r="F440" s="4" cm="1">
        <f t="array" ref="F440">SUM((MMULT(ISNUMBER(SEARCH(TRANSPOSE(category!$D$2:$D$10), A440))*1, ROW(category!$D$2:$D$10)^0)&gt;0)*1)</f>
        <v>0</v>
      </c>
      <c r="G440" s="4" cm="1">
        <f t="array" ref="G440">SUM((MMULT(ISNUMBER(SEARCH(TRANSPOSE(category!$E$2:$E$8), A440))*1, ROW(category!$E$2:$E$8)^0)&gt;0)*1)</f>
        <v>0</v>
      </c>
      <c r="H440" s="4" cm="1">
        <f t="array" ref="H440">SUM((MMULT(ISNUMBER(SEARCH(TRANSPOSE(category!$F$2:$F$9), A440))*1, ROW(category!$F$2:$F$9)^0)&gt;0)*1)</f>
        <v>0</v>
      </c>
    </row>
    <row r="441" spans="1:8" x14ac:dyDescent="0.45">
      <c r="A441" t="s">
        <v>903</v>
      </c>
      <c r="B441" s="6">
        <f t="shared" si="6"/>
        <v>2</v>
      </c>
      <c r="C441" s="4" cm="1">
        <f t="array" ref="C441">SUM((MMULT(ISNUMBER(SEARCH(TRANSPOSE(category!$A$2:$A$11), A441))*1, ROW(category!$A$2:$A$11)^0)&gt;0)*1)</f>
        <v>0</v>
      </c>
      <c r="D441" s="4" cm="1">
        <f t="array" ref="D441">SUM((MMULT(ISNUMBER(SEARCH(TRANSPOSE(category!$B$2:$B$25), A441))*1, ROW(category!$B$2:$B$25)^0)&gt;0)*1)</f>
        <v>0</v>
      </c>
      <c r="E441" s="4" cm="1">
        <f t="array" ref="E441">SUM((MMULT(ISNUMBER(SEARCH(TRANSPOSE(category!$C$2:$C$4), A441))*1, ROW(category!$C$2:$C$4)^0)&gt;0)*1)</f>
        <v>0</v>
      </c>
      <c r="F441" s="4" cm="1">
        <f t="array" ref="F441">SUM((MMULT(ISNUMBER(SEARCH(TRANSPOSE(category!$D$2:$D$10), A441))*1, ROW(category!$D$2:$D$10)^0)&gt;0)*1)</f>
        <v>0</v>
      </c>
      <c r="G441" s="4" cm="1">
        <f t="array" ref="G441">SUM((MMULT(ISNUMBER(SEARCH(TRANSPOSE(category!$E$2:$E$8), A441))*1, ROW(category!$E$2:$E$8)^0)&gt;0)*1)</f>
        <v>0</v>
      </c>
      <c r="H441" s="4" cm="1">
        <f t="array" ref="H441">SUM((MMULT(ISNUMBER(SEARCH(TRANSPOSE(category!$F$2:$F$9), A441))*1, ROW(category!$F$2:$F$9)^0)&gt;0)*1)</f>
        <v>1</v>
      </c>
    </row>
    <row r="442" spans="1:8" x14ac:dyDescent="0.45">
      <c r="A442" t="s">
        <v>570</v>
      </c>
      <c r="B442" s="6">
        <f t="shared" si="6"/>
        <v>2</v>
      </c>
      <c r="C442" s="4" cm="1">
        <f t="array" ref="C442">SUM((MMULT(ISNUMBER(SEARCH(TRANSPOSE(category!$A$2:$A$11), A442))*1, ROW(category!$A$2:$A$11)^0)&gt;0)*1)</f>
        <v>0</v>
      </c>
      <c r="D442" s="4" cm="1">
        <f t="array" ref="D442">SUM((MMULT(ISNUMBER(SEARCH(TRANSPOSE(category!$B$2:$B$25), A442))*1, ROW(category!$B$2:$B$25)^0)&gt;0)*1)</f>
        <v>1</v>
      </c>
      <c r="E442" s="4" cm="1">
        <f t="array" ref="E442">SUM((MMULT(ISNUMBER(SEARCH(TRANSPOSE(category!$C$2:$C$4), A442))*1, ROW(category!$C$2:$C$4)^0)&gt;0)*1)</f>
        <v>0</v>
      </c>
      <c r="F442" s="4" cm="1">
        <f t="array" ref="F442">SUM((MMULT(ISNUMBER(SEARCH(TRANSPOSE(category!$D$2:$D$10), A442))*1, ROW(category!$D$2:$D$10)^0)&gt;0)*1)</f>
        <v>0</v>
      </c>
      <c r="G442" s="4" cm="1">
        <f t="array" ref="G442">SUM((MMULT(ISNUMBER(SEARCH(TRANSPOSE(category!$E$2:$E$8), A442))*1, ROW(category!$E$2:$E$8)^0)&gt;0)*1)</f>
        <v>0</v>
      </c>
      <c r="H442" s="4" cm="1">
        <f t="array" ref="H442">SUM((MMULT(ISNUMBER(SEARCH(TRANSPOSE(category!$F$2:$F$9), A442))*1, ROW(category!$F$2:$F$9)^0)&gt;0)*1)</f>
        <v>0</v>
      </c>
    </row>
    <row r="443" spans="1:8" x14ac:dyDescent="0.45">
      <c r="A443" t="s">
        <v>906</v>
      </c>
      <c r="B443" s="6">
        <f t="shared" si="6"/>
        <v>7</v>
      </c>
      <c r="C443" s="4" cm="1">
        <f t="array" ref="C443">SUM((MMULT(ISNUMBER(SEARCH(TRANSPOSE(category!$A$2:$A$11), A443))*1, ROW(category!$A$2:$A$11)^0)&gt;0)*1)</f>
        <v>0</v>
      </c>
      <c r="D443" s="4" cm="1">
        <f t="array" ref="D443">SUM((MMULT(ISNUMBER(SEARCH(TRANSPOSE(category!$B$2:$B$25), A443))*1, ROW(category!$B$2:$B$25)^0)&gt;0)*1)</f>
        <v>1</v>
      </c>
      <c r="E443" s="4" cm="1">
        <f t="array" ref="E443">SUM((MMULT(ISNUMBER(SEARCH(TRANSPOSE(category!$C$2:$C$4), A443))*1, ROW(category!$C$2:$C$4)^0)&gt;0)*1)</f>
        <v>0</v>
      </c>
      <c r="F443" s="4" cm="1">
        <f t="array" ref="F443">SUM((MMULT(ISNUMBER(SEARCH(TRANSPOSE(category!$D$2:$D$10), A443))*1, ROW(category!$D$2:$D$10)^0)&gt;0)*1)</f>
        <v>0</v>
      </c>
      <c r="G443" s="4" cm="1">
        <f t="array" ref="G443">SUM((MMULT(ISNUMBER(SEARCH(TRANSPOSE(category!$E$2:$E$8), A443))*1, ROW(category!$E$2:$E$8)^0)&gt;0)*1)</f>
        <v>0</v>
      </c>
      <c r="H443" s="4" cm="1">
        <f t="array" ref="H443">SUM((MMULT(ISNUMBER(SEARCH(TRANSPOSE(category!$F$2:$F$9), A443))*1, ROW(category!$F$2:$F$9)^0)&gt;0)*1)</f>
        <v>0</v>
      </c>
    </row>
    <row r="444" spans="1:8" x14ac:dyDescent="0.45">
      <c r="A444" t="s">
        <v>676</v>
      </c>
      <c r="B444" s="6">
        <f t="shared" si="6"/>
        <v>5</v>
      </c>
      <c r="C444" s="4" cm="1">
        <f t="array" ref="C444">SUM((MMULT(ISNUMBER(SEARCH(TRANSPOSE(category!$A$2:$A$11), A444))*1, ROW(category!$A$2:$A$11)^0)&gt;0)*1)</f>
        <v>0</v>
      </c>
      <c r="D444" s="4" cm="1">
        <f t="array" ref="D444">SUM((MMULT(ISNUMBER(SEARCH(TRANSPOSE(category!$B$2:$B$25), A444))*1, ROW(category!$B$2:$B$25)^0)&gt;0)*1)</f>
        <v>1</v>
      </c>
      <c r="E444" s="4" cm="1">
        <f t="array" ref="E444">SUM((MMULT(ISNUMBER(SEARCH(TRANSPOSE(category!$C$2:$C$4), A444))*1, ROW(category!$C$2:$C$4)^0)&gt;0)*1)</f>
        <v>0</v>
      </c>
      <c r="F444" s="4" cm="1">
        <f t="array" ref="F444">SUM((MMULT(ISNUMBER(SEARCH(TRANSPOSE(category!$D$2:$D$10), A444))*1, ROW(category!$D$2:$D$10)^0)&gt;0)*1)</f>
        <v>0</v>
      </c>
      <c r="G444" s="4" cm="1">
        <f t="array" ref="G444">SUM((MMULT(ISNUMBER(SEARCH(TRANSPOSE(category!$E$2:$E$8), A444))*1, ROW(category!$E$2:$E$8)^0)&gt;0)*1)</f>
        <v>0</v>
      </c>
      <c r="H444" s="4" cm="1">
        <f t="array" ref="H444">SUM((MMULT(ISNUMBER(SEARCH(TRANSPOSE(category!$F$2:$F$9), A444))*1, ROW(category!$F$2:$F$9)^0)&gt;0)*1)</f>
        <v>0</v>
      </c>
    </row>
    <row r="445" spans="1:8" x14ac:dyDescent="0.45">
      <c r="A445" t="s">
        <v>909</v>
      </c>
      <c r="B445" s="6">
        <f t="shared" si="6"/>
        <v>9</v>
      </c>
      <c r="C445" s="4" cm="1">
        <f t="array" ref="C445">SUM((MMULT(ISNUMBER(SEARCH(TRANSPOSE(category!$A$2:$A$11), A445))*1, ROW(category!$A$2:$A$11)^0)&gt;0)*1)</f>
        <v>0</v>
      </c>
      <c r="D445" s="4" cm="1">
        <f t="array" ref="D445">SUM((MMULT(ISNUMBER(SEARCH(TRANSPOSE(category!$B$2:$B$25), A445))*1, ROW(category!$B$2:$B$25)^0)&gt;0)*1)</f>
        <v>0</v>
      </c>
      <c r="E445" s="4" cm="1">
        <f t="array" ref="E445">SUM((MMULT(ISNUMBER(SEARCH(TRANSPOSE(category!$C$2:$C$4), A445))*1, ROW(category!$C$2:$C$4)^0)&gt;0)*1)</f>
        <v>0</v>
      </c>
      <c r="F445" s="4" cm="1">
        <f t="array" ref="F445">SUM((MMULT(ISNUMBER(SEARCH(TRANSPOSE(category!$D$2:$D$10), A445))*1, ROW(category!$D$2:$D$10)^0)&gt;0)*1)</f>
        <v>0</v>
      </c>
      <c r="G445" s="4" cm="1">
        <f t="array" ref="G445">SUM((MMULT(ISNUMBER(SEARCH(TRANSPOSE(category!$E$2:$E$8), A445))*1, ROW(category!$E$2:$E$8)^0)&gt;0)*1)</f>
        <v>0</v>
      </c>
      <c r="H445" s="4" cm="1">
        <f t="array" ref="H445">SUM((MMULT(ISNUMBER(SEARCH(TRANSPOSE(category!$F$2:$F$9), A445))*1, ROW(category!$F$2:$F$9)^0)&gt;0)*1)</f>
        <v>0</v>
      </c>
    </row>
    <row r="446" spans="1:8" x14ac:dyDescent="0.45">
      <c r="A446" t="s">
        <v>644</v>
      </c>
      <c r="B446" s="6">
        <f t="shared" si="6"/>
        <v>6</v>
      </c>
      <c r="C446" s="4" cm="1">
        <f t="array" ref="C446">SUM((MMULT(ISNUMBER(SEARCH(TRANSPOSE(category!$A$2:$A$11), A446))*1, ROW(category!$A$2:$A$11)^0)&gt;0)*1)</f>
        <v>0</v>
      </c>
      <c r="D446" s="4" cm="1">
        <f t="array" ref="D446">SUM((MMULT(ISNUMBER(SEARCH(TRANSPOSE(category!$B$2:$B$25), A446))*1, ROW(category!$B$2:$B$25)^0)&gt;0)*1)</f>
        <v>1</v>
      </c>
      <c r="E446" s="4" cm="1">
        <f t="array" ref="E446">SUM((MMULT(ISNUMBER(SEARCH(TRANSPOSE(category!$C$2:$C$4), A446))*1, ROW(category!$C$2:$C$4)^0)&gt;0)*1)</f>
        <v>0</v>
      </c>
      <c r="F446" s="4" cm="1">
        <f t="array" ref="F446">SUM((MMULT(ISNUMBER(SEARCH(TRANSPOSE(category!$D$2:$D$10), A446))*1, ROW(category!$D$2:$D$10)^0)&gt;0)*1)</f>
        <v>0</v>
      </c>
      <c r="G446" s="4" cm="1">
        <f t="array" ref="G446">SUM((MMULT(ISNUMBER(SEARCH(TRANSPOSE(category!$E$2:$E$8), A446))*1, ROW(category!$E$2:$E$8)^0)&gt;0)*1)</f>
        <v>0</v>
      </c>
      <c r="H446" s="4" cm="1">
        <f t="array" ref="H446">SUM((MMULT(ISNUMBER(SEARCH(TRANSPOSE(category!$F$2:$F$9), A446))*1, ROW(category!$F$2:$F$9)^0)&gt;0)*1)</f>
        <v>0</v>
      </c>
    </row>
    <row r="447" spans="1:8" x14ac:dyDescent="0.45">
      <c r="A447" t="s">
        <v>912</v>
      </c>
      <c r="B447" s="6">
        <f t="shared" si="6"/>
        <v>6</v>
      </c>
      <c r="C447" s="4" cm="1">
        <f t="array" ref="C447">SUM((MMULT(ISNUMBER(SEARCH(TRANSPOSE(category!$A$2:$A$11), A447))*1, ROW(category!$A$2:$A$11)^0)&gt;0)*1)</f>
        <v>0</v>
      </c>
      <c r="D447" s="4" cm="1">
        <f t="array" ref="D447">SUM((MMULT(ISNUMBER(SEARCH(TRANSPOSE(category!$B$2:$B$25), A447))*1, ROW(category!$B$2:$B$25)^0)&gt;0)*1)</f>
        <v>1</v>
      </c>
      <c r="E447" s="4" cm="1">
        <f t="array" ref="E447">SUM((MMULT(ISNUMBER(SEARCH(TRANSPOSE(category!$C$2:$C$4), A447))*1, ROW(category!$C$2:$C$4)^0)&gt;0)*1)</f>
        <v>0</v>
      </c>
      <c r="F447" s="4" cm="1">
        <f t="array" ref="F447">SUM((MMULT(ISNUMBER(SEARCH(TRANSPOSE(category!$D$2:$D$10), A447))*1, ROW(category!$D$2:$D$10)^0)&gt;0)*1)</f>
        <v>0</v>
      </c>
      <c r="G447" s="4" cm="1">
        <f t="array" ref="G447">SUM((MMULT(ISNUMBER(SEARCH(TRANSPOSE(category!$E$2:$E$8), A447))*1, ROW(category!$E$2:$E$8)^0)&gt;0)*1)</f>
        <v>0</v>
      </c>
      <c r="H447" s="4" cm="1">
        <f t="array" ref="H447">SUM((MMULT(ISNUMBER(SEARCH(TRANSPOSE(category!$F$2:$F$9), A447))*1, ROW(category!$F$2:$F$9)^0)&gt;0)*1)</f>
        <v>0</v>
      </c>
    </row>
    <row r="448" spans="1:8" x14ac:dyDescent="0.45">
      <c r="A448" t="s">
        <v>914</v>
      </c>
      <c r="B448" s="6">
        <f t="shared" si="6"/>
        <v>6</v>
      </c>
      <c r="C448" s="4" cm="1">
        <f t="array" ref="C448">SUM((MMULT(ISNUMBER(SEARCH(TRANSPOSE(category!$A$2:$A$11), A448))*1, ROW(category!$A$2:$A$11)^0)&gt;0)*1)</f>
        <v>0</v>
      </c>
      <c r="D448" s="4" cm="1">
        <f t="array" ref="D448">SUM((MMULT(ISNUMBER(SEARCH(TRANSPOSE(category!$B$2:$B$25), A448))*1, ROW(category!$B$2:$B$25)^0)&gt;0)*1)</f>
        <v>1</v>
      </c>
      <c r="E448" s="4" cm="1">
        <f t="array" ref="E448">SUM((MMULT(ISNUMBER(SEARCH(TRANSPOSE(category!$C$2:$C$4), A448))*1, ROW(category!$C$2:$C$4)^0)&gt;0)*1)</f>
        <v>0</v>
      </c>
      <c r="F448" s="4" cm="1">
        <f t="array" ref="F448">SUM((MMULT(ISNUMBER(SEARCH(TRANSPOSE(category!$D$2:$D$10), A448))*1, ROW(category!$D$2:$D$10)^0)&gt;0)*1)</f>
        <v>0</v>
      </c>
      <c r="G448" s="4" cm="1">
        <f t="array" ref="G448">SUM((MMULT(ISNUMBER(SEARCH(TRANSPOSE(category!$E$2:$E$8), A448))*1, ROW(category!$E$2:$E$8)^0)&gt;0)*1)</f>
        <v>0</v>
      </c>
      <c r="H448" s="4" cm="1">
        <f t="array" ref="H448">SUM((MMULT(ISNUMBER(SEARCH(TRANSPOSE(category!$F$2:$F$9), A448))*1, ROW(category!$F$2:$F$9)^0)&gt;0)*1)</f>
        <v>0</v>
      </c>
    </row>
    <row r="449" spans="1:8" x14ac:dyDescent="0.45">
      <c r="A449" t="s">
        <v>676</v>
      </c>
      <c r="B449" s="6">
        <f t="shared" si="6"/>
        <v>5</v>
      </c>
      <c r="C449" s="4" cm="1">
        <f t="array" ref="C449">SUM((MMULT(ISNUMBER(SEARCH(TRANSPOSE(category!$A$2:$A$11), A449))*1, ROW(category!$A$2:$A$11)^0)&gt;0)*1)</f>
        <v>0</v>
      </c>
      <c r="D449" s="4" cm="1">
        <f t="array" ref="D449">SUM((MMULT(ISNUMBER(SEARCH(TRANSPOSE(category!$B$2:$B$25), A449))*1, ROW(category!$B$2:$B$25)^0)&gt;0)*1)</f>
        <v>1</v>
      </c>
      <c r="E449" s="4" cm="1">
        <f t="array" ref="E449">SUM((MMULT(ISNUMBER(SEARCH(TRANSPOSE(category!$C$2:$C$4), A449))*1, ROW(category!$C$2:$C$4)^0)&gt;0)*1)</f>
        <v>0</v>
      </c>
      <c r="F449" s="4" cm="1">
        <f t="array" ref="F449">SUM((MMULT(ISNUMBER(SEARCH(TRANSPOSE(category!$D$2:$D$10), A449))*1, ROW(category!$D$2:$D$10)^0)&gt;0)*1)</f>
        <v>0</v>
      </c>
      <c r="G449" s="4" cm="1">
        <f t="array" ref="G449">SUM((MMULT(ISNUMBER(SEARCH(TRANSPOSE(category!$E$2:$E$8), A449))*1, ROW(category!$E$2:$E$8)^0)&gt;0)*1)</f>
        <v>0</v>
      </c>
      <c r="H449" s="4" cm="1">
        <f t="array" ref="H449">SUM((MMULT(ISNUMBER(SEARCH(TRANSPOSE(category!$F$2:$F$9), A449))*1, ROW(category!$F$2:$F$9)^0)&gt;0)*1)</f>
        <v>0</v>
      </c>
    </row>
    <row r="450" spans="1:8" x14ac:dyDescent="0.45">
      <c r="A450" t="s">
        <v>917</v>
      </c>
      <c r="B450" s="6">
        <f t="shared" si="6"/>
        <v>2</v>
      </c>
      <c r="C450" s="4" cm="1">
        <f t="array" ref="C450">SUM((MMULT(ISNUMBER(SEARCH(TRANSPOSE(category!$A$2:$A$11), A450))*1, ROW(category!$A$2:$A$11)^0)&gt;0)*1)</f>
        <v>0</v>
      </c>
      <c r="D450" s="4" cm="1">
        <f t="array" ref="D450">SUM((MMULT(ISNUMBER(SEARCH(TRANSPOSE(category!$B$2:$B$25), A450))*1, ROW(category!$B$2:$B$25)^0)&gt;0)*1)</f>
        <v>1</v>
      </c>
      <c r="E450" s="4" cm="1">
        <f t="array" ref="E450">SUM((MMULT(ISNUMBER(SEARCH(TRANSPOSE(category!$C$2:$C$4), A450))*1, ROW(category!$C$2:$C$4)^0)&gt;0)*1)</f>
        <v>0</v>
      </c>
      <c r="F450" s="4" cm="1">
        <f t="array" ref="F450">SUM((MMULT(ISNUMBER(SEARCH(TRANSPOSE(category!$D$2:$D$10), A450))*1, ROW(category!$D$2:$D$10)^0)&gt;0)*1)</f>
        <v>0</v>
      </c>
      <c r="G450" s="4" cm="1">
        <f t="array" ref="G450">SUM((MMULT(ISNUMBER(SEARCH(TRANSPOSE(category!$E$2:$E$8), A450))*1, ROW(category!$E$2:$E$8)^0)&gt;0)*1)</f>
        <v>0</v>
      </c>
      <c r="H450" s="4" cm="1">
        <f t="array" ref="H450">SUM((MMULT(ISNUMBER(SEARCH(TRANSPOSE(category!$F$2:$F$9), A450))*1, ROW(category!$F$2:$F$9)^0)&gt;0)*1)</f>
        <v>0</v>
      </c>
    </row>
    <row r="451" spans="1:8" x14ac:dyDescent="0.45">
      <c r="A451" t="s">
        <v>919</v>
      </c>
      <c r="B451" s="6">
        <f t="shared" ref="B451:B514" si="7">LEN(A451)-LEN(SUBSTITUTE(A451," ",""))+1</f>
        <v>2</v>
      </c>
      <c r="C451" s="4" cm="1">
        <f t="array" ref="C451">SUM((MMULT(ISNUMBER(SEARCH(TRANSPOSE(category!$A$2:$A$11), A451))*1, ROW(category!$A$2:$A$11)^0)&gt;0)*1)</f>
        <v>0</v>
      </c>
      <c r="D451" s="4" cm="1">
        <f t="array" ref="D451">SUM((MMULT(ISNUMBER(SEARCH(TRANSPOSE(category!$B$2:$B$25), A451))*1, ROW(category!$B$2:$B$25)^0)&gt;0)*1)</f>
        <v>0</v>
      </c>
      <c r="E451" s="4" cm="1">
        <f t="array" ref="E451">SUM((MMULT(ISNUMBER(SEARCH(TRANSPOSE(category!$C$2:$C$4), A451))*1, ROW(category!$C$2:$C$4)^0)&gt;0)*1)</f>
        <v>0</v>
      </c>
      <c r="F451" s="4" cm="1">
        <f t="array" ref="F451">SUM((MMULT(ISNUMBER(SEARCH(TRANSPOSE(category!$D$2:$D$10), A451))*1, ROW(category!$D$2:$D$10)^0)&gt;0)*1)</f>
        <v>0</v>
      </c>
      <c r="G451" s="4" cm="1">
        <f t="array" ref="G451">SUM((MMULT(ISNUMBER(SEARCH(TRANSPOSE(category!$E$2:$E$8), A451))*1, ROW(category!$E$2:$E$8)^0)&gt;0)*1)</f>
        <v>0</v>
      </c>
      <c r="H451" s="4" cm="1">
        <f t="array" ref="H451">SUM((MMULT(ISNUMBER(SEARCH(TRANSPOSE(category!$F$2:$F$9), A451))*1, ROW(category!$F$2:$F$9)^0)&gt;0)*1)</f>
        <v>0</v>
      </c>
    </row>
    <row r="452" spans="1:8" x14ac:dyDescent="0.45">
      <c r="A452" t="s">
        <v>921</v>
      </c>
      <c r="B452" s="6">
        <f t="shared" si="7"/>
        <v>2</v>
      </c>
      <c r="C452" s="4" cm="1">
        <f t="array" ref="C452">SUM((MMULT(ISNUMBER(SEARCH(TRANSPOSE(category!$A$2:$A$11), A452))*1, ROW(category!$A$2:$A$11)^0)&gt;0)*1)</f>
        <v>0</v>
      </c>
      <c r="D452" s="4" cm="1">
        <f t="array" ref="D452">SUM((MMULT(ISNUMBER(SEARCH(TRANSPOSE(category!$B$2:$B$25), A452))*1, ROW(category!$B$2:$B$25)^0)&gt;0)*1)</f>
        <v>1</v>
      </c>
      <c r="E452" s="4" cm="1">
        <f t="array" ref="E452">SUM((MMULT(ISNUMBER(SEARCH(TRANSPOSE(category!$C$2:$C$4), A452))*1, ROW(category!$C$2:$C$4)^0)&gt;0)*1)</f>
        <v>0</v>
      </c>
      <c r="F452" s="4" cm="1">
        <f t="array" ref="F452">SUM((MMULT(ISNUMBER(SEARCH(TRANSPOSE(category!$D$2:$D$10), A452))*1, ROW(category!$D$2:$D$10)^0)&gt;0)*1)</f>
        <v>0</v>
      </c>
      <c r="G452" s="4" cm="1">
        <f t="array" ref="G452">SUM((MMULT(ISNUMBER(SEARCH(TRANSPOSE(category!$E$2:$E$8), A452))*1, ROW(category!$E$2:$E$8)^0)&gt;0)*1)</f>
        <v>0</v>
      </c>
      <c r="H452" s="4" cm="1">
        <f t="array" ref="H452">SUM((MMULT(ISNUMBER(SEARCH(TRANSPOSE(category!$F$2:$F$9), A452))*1, ROW(category!$F$2:$F$9)^0)&gt;0)*1)</f>
        <v>0</v>
      </c>
    </row>
    <row r="453" spans="1:8" x14ac:dyDescent="0.45">
      <c r="A453" t="s">
        <v>923</v>
      </c>
      <c r="B453" s="6">
        <f t="shared" si="7"/>
        <v>4</v>
      </c>
      <c r="C453" s="4" cm="1">
        <f t="array" ref="C453">SUM((MMULT(ISNUMBER(SEARCH(TRANSPOSE(category!$A$2:$A$11), A453))*1, ROW(category!$A$2:$A$11)^0)&gt;0)*1)</f>
        <v>0</v>
      </c>
      <c r="D453" s="4" cm="1">
        <f t="array" ref="D453">SUM((MMULT(ISNUMBER(SEARCH(TRANSPOSE(category!$B$2:$B$25), A453))*1, ROW(category!$B$2:$B$25)^0)&gt;0)*1)</f>
        <v>1</v>
      </c>
      <c r="E453" s="4" cm="1">
        <f t="array" ref="E453">SUM((MMULT(ISNUMBER(SEARCH(TRANSPOSE(category!$C$2:$C$4), A453))*1, ROW(category!$C$2:$C$4)^0)&gt;0)*1)</f>
        <v>0</v>
      </c>
      <c r="F453" s="4" cm="1">
        <f t="array" ref="F453">SUM((MMULT(ISNUMBER(SEARCH(TRANSPOSE(category!$D$2:$D$10), A453))*1, ROW(category!$D$2:$D$10)^0)&gt;0)*1)</f>
        <v>0</v>
      </c>
      <c r="G453" s="4" cm="1">
        <f t="array" ref="G453">SUM((MMULT(ISNUMBER(SEARCH(TRANSPOSE(category!$E$2:$E$8), A453))*1, ROW(category!$E$2:$E$8)^0)&gt;0)*1)</f>
        <v>0</v>
      </c>
      <c r="H453" s="4" cm="1">
        <f t="array" ref="H453">SUM((MMULT(ISNUMBER(SEARCH(TRANSPOSE(category!$F$2:$F$9), A453))*1, ROW(category!$F$2:$F$9)^0)&gt;0)*1)</f>
        <v>0</v>
      </c>
    </row>
    <row r="454" spans="1:8" x14ac:dyDescent="0.45">
      <c r="A454" t="s">
        <v>775</v>
      </c>
      <c r="B454" s="6">
        <f t="shared" si="7"/>
        <v>2</v>
      </c>
      <c r="C454" s="4" cm="1">
        <f t="array" ref="C454">SUM((MMULT(ISNUMBER(SEARCH(TRANSPOSE(category!$A$2:$A$11), A454))*1, ROW(category!$A$2:$A$11)^0)&gt;0)*1)</f>
        <v>0</v>
      </c>
      <c r="D454" s="4" cm="1">
        <f t="array" ref="D454">SUM((MMULT(ISNUMBER(SEARCH(TRANSPOSE(category!$B$2:$B$25), A454))*1, ROW(category!$B$2:$B$25)^0)&gt;0)*1)</f>
        <v>1</v>
      </c>
      <c r="E454" s="4" cm="1">
        <f t="array" ref="E454">SUM((MMULT(ISNUMBER(SEARCH(TRANSPOSE(category!$C$2:$C$4), A454))*1, ROW(category!$C$2:$C$4)^0)&gt;0)*1)</f>
        <v>0</v>
      </c>
      <c r="F454" s="4" cm="1">
        <f t="array" ref="F454">SUM((MMULT(ISNUMBER(SEARCH(TRANSPOSE(category!$D$2:$D$10), A454))*1, ROW(category!$D$2:$D$10)^0)&gt;0)*1)</f>
        <v>0</v>
      </c>
      <c r="G454" s="4" cm="1">
        <f t="array" ref="G454">SUM((MMULT(ISNUMBER(SEARCH(TRANSPOSE(category!$E$2:$E$8), A454))*1, ROW(category!$E$2:$E$8)^0)&gt;0)*1)</f>
        <v>0</v>
      </c>
      <c r="H454" s="4" cm="1">
        <f t="array" ref="H454">SUM((MMULT(ISNUMBER(SEARCH(TRANSPOSE(category!$F$2:$F$9), A454))*1, ROW(category!$F$2:$F$9)^0)&gt;0)*1)</f>
        <v>0</v>
      </c>
    </row>
    <row r="455" spans="1:8" x14ac:dyDescent="0.45">
      <c r="A455" t="s">
        <v>852</v>
      </c>
      <c r="B455" s="6">
        <f t="shared" si="7"/>
        <v>2</v>
      </c>
      <c r="C455" s="4" cm="1">
        <f t="array" ref="C455">SUM((MMULT(ISNUMBER(SEARCH(TRANSPOSE(category!$A$2:$A$11), A455))*1, ROW(category!$A$2:$A$11)^0)&gt;0)*1)</f>
        <v>0</v>
      </c>
      <c r="D455" s="4" cm="1">
        <f t="array" ref="D455">SUM((MMULT(ISNUMBER(SEARCH(TRANSPOSE(category!$B$2:$B$25), A455))*1, ROW(category!$B$2:$B$25)^0)&gt;0)*1)</f>
        <v>1</v>
      </c>
      <c r="E455" s="4" cm="1">
        <f t="array" ref="E455">SUM((MMULT(ISNUMBER(SEARCH(TRANSPOSE(category!$C$2:$C$4), A455))*1, ROW(category!$C$2:$C$4)^0)&gt;0)*1)</f>
        <v>0</v>
      </c>
      <c r="F455" s="4" cm="1">
        <f t="array" ref="F455">SUM((MMULT(ISNUMBER(SEARCH(TRANSPOSE(category!$D$2:$D$10), A455))*1, ROW(category!$D$2:$D$10)^0)&gt;0)*1)</f>
        <v>0</v>
      </c>
      <c r="G455" s="4" cm="1">
        <f t="array" ref="G455">SUM((MMULT(ISNUMBER(SEARCH(TRANSPOSE(category!$E$2:$E$8), A455))*1, ROW(category!$E$2:$E$8)^0)&gt;0)*1)</f>
        <v>0</v>
      </c>
      <c r="H455" s="4" cm="1">
        <f t="array" ref="H455">SUM((MMULT(ISNUMBER(SEARCH(TRANSPOSE(category!$F$2:$F$9), A455))*1, ROW(category!$F$2:$F$9)^0)&gt;0)*1)</f>
        <v>0</v>
      </c>
    </row>
    <row r="456" spans="1:8" x14ac:dyDescent="0.45">
      <c r="A456" t="s">
        <v>806</v>
      </c>
      <c r="B456" s="6">
        <f t="shared" si="7"/>
        <v>2</v>
      </c>
      <c r="C456" s="4" cm="1">
        <f t="array" ref="C456">SUM((MMULT(ISNUMBER(SEARCH(TRANSPOSE(category!$A$2:$A$11), A456))*1, ROW(category!$A$2:$A$11)^0)&gt;0)*1)</f>
        <v>0</v>
      </c>
      <c r="D456" s="4" cm="1">
        <f t="array" ref="D456">SUM((MMULT(ISNUMBER(SEARCH(TRANSPOSE(category!$B$2:$B$25), A456))*1, ROW(category!$B$2:$B$25)^0)&gt;0)*1)</f>
        <v>1</v>
      </c>
      <c r="E456" s="4" cm="1">
        <f t="array" ref="E456">SUM((MMULT(ISNUMBER(SEARCH(TRANSPOSE(category!$C$2:$C$4), A456))*1, ROW(category!$C$2:$C$4)^0)&gt;0)*1)</f>
        <v>0</v>
      </c>
      <c r="F456" s="4" cm="1">
        <f t="array" ref="F456">SUM((MMULT(ISNUMBER(SEARCH(TRANSPOSE(category!$D$2:$D$10), A456))*1, ROW(category!$D$2:$D$10)^0)&gt;0)*1)</f>
        <v>0</v>
      </c>
      <c r="G456" s="4" cm="1">
        <f t="array" ref="G456">SUM((MMULT(ISNUMBER(SEARCH(TRANSPOSE(category!$E$2:$E$8), A456))*1, ROW(category!$E$2:$E$8)^0)&gt;0)*1)</f>
        <v>0</v>
      </c>
      <c r="H456" s="4" cm="1">
        <f t="array" ref="H456">SUM((MMULT(ISNUMBER(SEARCH(TRANSPOSE(category!$F$2:$F$9), A456))*1, ROW(category!$F$2:$F$9)^0)&gt;0)*1)</f>
        <v>0</v>
      </c>
    </row>
    <row r="457" spans="1:8" x14ac:dyDescent="0.45">
      <c r="A457" t="s">
        <v>806</v>
      </c>
      <c r="B457" s="6">
        <f t="shared" si="7"/>
        <v>2</v>
      </c>
      <c r="C457" s="4" cm="1">
        <f t="array" ref="C457">SUM((MMULT(ISNUMBER(SEARCH(TRANSPOSE(category!$A$2:$A$11), A457))*1, ROW(category!$A$2:$A$11)^0)&gt;0)*1)</f>
        <v>0</v>
      </c>
      <c r="D457" s="4" cm="1">
        <f t="array" ref="D457">SUM((MMULT(ISNUMBER(SEARCH(TRANSPOSE(category!$B$2:$B$25), A457))*1, ROW(category!$B$2:$B$25)^0)&gt;0)*1)</f>
        <v>1</v>
      </c>
      <c r="E457" s="4" cm="1">
        <f t="array" ref="E457">SUM((MMULT(ISNUMBER(SEARCH(TRANSPOSE(category!$C$2:$C$4), A457))*1, ROW(category!$C$2:$C$4)^0)&gt;0)*1)</f>
        <v>0</v>
      </c>
      <c r="F457" s="4" cm="1">
        <f t="array" ref="F457">SUM((MMULT(ISNUMBER(SEARCH(TRANSPOSE(category!$D$2:$D$10), A457))*1, ROW(category!$D$2:$D$10)^0)&gt;0)*1)</f>
        <v>0</v>
      </c>
      <c r="G457" s="4" cm="1">
        <f t="array" ref="G457">SUM((MMULT(ISNUMBER(SEARCH(TRANSPOSE(category!$E$2:$E$8), A457))*1, ROW(category!$E$2:$E$8)^0)&gt;0)*1)</f>
        <v>0</v>
      </c>
      <c r="H457" s="4" cm="1">
        <f t="array" ref="H457">SUM((MMULT(ISNUMBER(SEARCH(TRANSPOSE(category!$F$2:$F$9), A457))*1, ROW(category!$F$2:$F$9)^0)&gt;0)*1)</f>
        <v>0</v>
      </c>
    </row>
    <row r="458" spans="1:8" x14ac:dyDescent="0.45">
      <c r="A458" t="s">
        <v>929</v>
      </c>
      <c r="B458" s="6">
        <f t="shared" si="7"/>
        <v>4</v>
      </c>
      <c r="C458" s="4" cm="1">
        <f t="array" ref="C458">SUM((MMULT(ISNUMBER(SEARCH(TRANSPOSE(category!$A$2:$A$11), A458))*1, ROW(category!$A$2:$A$11)^0)&gt;0)*1)</f>
        <v>0</v>
      </c>
      <c r="D458" s="4" cm="1">
        <f t="array" ref="D458">SUM((MMULT(ISNUMBER(SEARCH(TRANSPOSE(category!$B$2:$B$25), A458))*1, ROW(category!$B$2:$B$25)^0)&gt;0)*1)</f>
        <v>0</v>
      </c>
      <c r="E458" s="4" cm="1">
        <f t="array" ref="E458">SUM((MMULT(ISNUMBER(SEARCH(TRANSPOSE(category!$C$2:$C$4), A458))*1, ROW(category!$C$2:$C$4)^0)&gt;0)*1)</f>
        <v>0</v>
      </c>
      <c r="F458" s="4" cm="1">
        <f t="array" ref="F458">SUM((MMULT(ISNUMBER(SEARCH(TRANSPOSE(category!$D$2:$D$10), A458))*1, ROW(category!$D$2:$D$10)^0)&gt;0)*1)</f>
        <v>1</v>
      </c>
      <c r="G458" s="4" cm="1">
        <f t="array" ref="G458">SUM((MMULT(ISNUMBER(SEARCH(TRANSPOSE(category!$E$2:$E$8), A458))*1, ROW(category!$E$2:$E$8)^0)&gt;0)*1)</f>
        <v>0</v>
      </c>
      <c r="H458" s="4" cm="1">
        <f t="array" ref="H458">SUM((MMULT(ISNUMBER(SEARCH(TRANSPOSE(category!$F$2:$F$9), A458))*1, ROW(category!$F$2:$F$9)^0)&gt;0)*1)</f>
        <v>0</v>
      </c>
    </row>
    <row r="459" spans="1:8" x14ac:dyDescent="0.45">
      <c r="A459" t="s">
        <v>931</v>
      </c>
      <c r="B459" s="6">
        <f t="shared" si="7"/>
        <v>2</v>
      </c>
      <c r="C459" s="4" cm="1">
        <f t="array" ref="C459">SUM((MMULT(ISNUMBER(SEARCH(TRANSPOSE(category!$A$2:$A$11), A459))*1, ROW(category!$A$2:$A$11)^0)&gt;0)*1)</f>
        <v>0</v>
      </c>
      <c r="D459" s="4" cm="1">
        <f t="array" ref="D459">SUM((MMULT(ISNUMBER(SEARCH(TRANSPOSE(category!$B$2:$B$25), A459))*1, ROW(category!$B$2:$B$25)^0)&gt;0)*1)</f>
        <v>1</v>
      </c>
      <c r="E459" s="4" cm="1">
        <f t="array" ref="E459">SUM((MMULT(ISNUMBER(SEARCH(TRANSPOSE(category!$C$2:$C$4), A459))*1, ROW(category!$C$2:$C$4)^0)&gt;0)*1)</f>
        <v>1</v>
      </c>
      <c r="F459" s="4" cm="1">
        <f t="array" ref="F459">SUM((MMULT(ISNUMBER(SEARCH(TRANSPOSE(category!$D$2:$D$10), A459))*1, ROW(category!$D$2:$D$10)^0)&gt;0)*1)</f>
        <v>0</v>
      </c>
      <c r="G459" s="4" cm="1">
        <f t="array" ref="G459">SUM((MMULT(ISNUMBER(SEARCH(TRANSPOSE(category!$E$2:$E$8), A459))*1, ROW(category!$E$2:$E$8)^0)&gt;0)*1)</f>
        <v>0</v>
      </c>
      <c r="H459" s="4" cm="1">
        <f t="array" ref="H459">SUM((MMULT(ISNUMBER(SEARCH(TRANSPOSE(category!$F$2:$F$9), A459))*1, ROW(category!$F$2:$F$9)^0)&gt;0)*1)</f>
        <v>0</v>
      </c>
    </row>
    <row r="460" spans="1:8" x14ac:dyDescent="0.45">
      <c r="A460" t="s">
        <v>852</v>
      </c>
      <c r="B460" s="6">
        <f t="shared" si="7"/>
        <v>2</v>
      </c>
      <c r="C460" s="4" cm="1">
        <f t="array" ref="C460">SUM((MMULT(ISNUMBER(SEARCH(TRANSPOSE(category!$A$2:$A$11), A460))*1, ROW(category!$A$2:$A$11)^0)&gt;0)*1)</f>
        <v>0</v>
      </c>
      <c r="D460" s="4" cm="1">
        <f t="array" ref="D460">SUM((MMULT(ISNUMBER(SEARCH(TRANSPOSE(category!$B$2:$B$25), A460))*1, ROW(category!$B$2:$B$25)^0)&gt;0)*1)</f>
        <v>1</v>
      </c>
      <c r="E460" s="4" cm="1">
        <f t="array" ref="E460">SUM((MMULT(ISNUMBER(SEARCH(TRANSPOSE(category!$C$2:$C$4), A460))*1, ROW(category!$C$2:$C$4)^0)&gt;0)*1)</f>
        <v>0</v>
      </c>
      <c r="F460" s="4" cm="1">
        <f t="array" ref="F460">SUM((MMULT(ISNUMBER(SEARCH(TRANSPOSE(category!$D$2:$D$10), A460))*1, ROW(category!$D$2:$D$10)^0)&gt;0)*1)</f>
        <v>0</v>
      </c>
      <c r="G460" s="4" cm="1">
        <f t="array" ref="G460">SUM((MMULT(ISNUMBER(SEARCH(TRANSPOSE(category!$E$2:$E$8), A460))*1, ROW(category!$E$2:$E$8)^0)&gt;0)*1)</f>
        <v>0</v>
      </c>
      <c r="H460" s="4" cm="1">
        <f t="array" ref="H460">SUM((MMULT(ISNUMBER(SEARCH(TRANSPOSE(category!$F$2:$F$9), A460))*1, ROW(category!$F$2:$F$9)^0)&gt;0)*1)</f>
        <v>0</v>
      </c>
    </row>
    <row r="461" spans="1:8" x14ac:dyDescent="0.45">
      <c r="A461" t="s">
        <v>934</v>
      </c>
      <c r="B461" s="6">
        <f t="shared" si="7"/>
        <v>2</v>
      </c>
      <c r="C461" s="4" cm="1">
        <f t="array" ref="C461">SUM((MMULT(ISNUMBER(SEARCH(TRANSPOSE(category!$A$2:$A$11), A461))*1, ROW(category!$A$2:$A$11)^0)&gt;0)*1)</f>
        <v>0</v>
      </c>
      <c r="D461" s="4" cm="1">
        <f t="array" ref="D461">SUM((MMULT(ISNUMBER(SEARCH(TRANSPOSE(category!$B$2:$B$25), A461))*1, ROW(category!$B$2:$B$25)^0)&gt;0)*1)</f>
        <v>0</v>
      </c>
      <c r="E461" s="4" cm="1">
        <f t="array" ref="E461">SUM((MMULT(ISNUMBER(SEARCH(TRANSPOSE(category!$C$2:$C$4), A461))*1, ROW(category!$C$2:$C$4)^0)&gt;0)*1)</f>
        <v>0</v>
      </c>
      <c r="F461" s="4" cm="1">
        <f t="array" ref="F461">SUM((MMULT(ISNUMBER(SEARCH(TRANSPOSE(category!$D$2:$D$10), A461))*1, ROW(category!$D$2:$D$10)^0)&gt;0)*1)</f>
        <v>0</v>
      </c>
      <c r="G461" s="4" cm="1">
        <f t="array" ref="G461">SUM((MMULT(ISNUMBER(SEARCH(TRANSPOSE(category!$E$2:$E$8), A461))*1, ROW(category!$E$2:$E$8)^0)&gt;0)*1)</f>
        <v>0</v>
      </c>
      <c r="H461" s="4" cm="1">
        <f t="array" ref="H461">SUM((MMULT(ISNUMBER(SEARCH(TRANSPOSE(category!$F$2:$F$9), A461))*1, ROW(category!$F$2:$F$9)^0)&gt;0)*1)</f>
        <v>0</v>
      </c>
    </row>
    <row r="462" spans="1:8" x14ac:dyDescent="0.45">
      <c r="A462" t="s">
        <v>936</v>
      </c>
      <c r="B462" s="6">
        <f t="shared" si="7"/>
        <v>2</v>
      </c>
      <c r="C462" s="4" cm="1">
        <f t="array" ref="C462">SUM((MMULT(ISNUMBER(SEARCH(TRANSPOSE(category!$A$2:$A$11), A462))*1, ROW(category!$A$2:$A$11)^0)&gt;0)*1)</f>
        <v>0</v>
      </c>
      <c r="D462" s="4" cm="1">
        <f t="array" ref="D462">SUM((MMULT(ISNUMBER(SEARCH(TRANSPOSE(category!$B$2:$B$25), A462))*1, ROW(category!$B$2:$B$25)^0)&gt;0)*1)</f>
        <v>1</v>
      </c>
      <c r="E462" s="4" cm="1">
        <f t="array" ref="E462">SUM((MMULT(ISNUMBER(SEARCH(TRANSPOSE(category!$C$2:$C$4), A462))*1, ROW(category!$C$2:$C$4)^0)&gt;0)*1)</f>
        <v>0</v>
      </c>
      <c r="F462" s="4" cm="1">
        <f t="array" ref="F462">SUM((MMULT(ISNUMBER(SEARCH(TRANSPOSE(category!$D$2:$D$10), A462))*1, ROW(category!$D$2:$D$10)^0)&gt;0)*1)</f>
        <v>1</v>
      </c>
      <c r="G462" s="4" cm="1">
        <f t="array" ref="G462">SUM((MMULT(ISNUMBER(SEARCH(TRANSPOSE(category!$E$2:$E$8), A462))*1, ROW(category!$E$2:$E$8)^0)&gt;0)*1)</f>
        <v>0</v>
      </c>
      <c r="H462" s="4" cm="1">
        <f t="array" ref="H462">SUM((MMULT(ISNUMBER(SEARCH(TRANSPOSE(category!$F$2:$F$9), A462))*1, ROW(category!$F$2:$F$9)^0)&gt;0)*1)</f>
        <v>0</v>
      </c>
    </row>
    <row r="463" spans="1:8" x14ac:dyDescent="0.45">
      <c r="A463" t="s">
        <v>938</v>
      </c>
      <c r="B463" s="6">
        <f t="shared" si="7"/>
        <v>1</v>
      </c>
      <c r="C463" s="4" cm="1">
        <f t="array" ref="C463">SUM((MMULT(ISNUMBER(SEARCH(TRANSPOSE(category!$A$2:$A$11), A463))*1, ROW(category!$A$2:$A$11)^0)&gt;0)*1)</f>
        <v>0</v>
      </c>
      <c r="D463" s="4" cm="1">
        <f t="array" ref="D463">SUM((MMULT(ISNUMBER(SEARCH(TRANSPOSE(category!$B$2:$B$25), A463))*1, ROW(category!$B$2:$B$25)^0)&gt;0)*1)</f>
        <v>1</v>
      </c>
      <c r="E463" s="4" cm="1">
        <f t="array" ref="E463">SUM((MMULT(ISNUMBER(SEARCH(TRANSPOSE(category!$C$2:$C$4), A463))*1, ROW(category!$C$2:$C$4)^0)&gt;0)*1)</f>
        <v>0</v>
      </c>
      <c r="F463" s="4" cm="1">
        <f t="array" ref="F463">SUM((MMULT(ISNUMBER(SEARCH(TRANSPOSE(category!$D$2:$D$10), A463))*1, ROW(category!$D$2:$D$10)^0)&gt;0)*1)</f>
        <v>0</v>
      </c>
      <c r="G463" s="4" cm="1">
        <f t="array" ref="G463">SUM((MMULT(ISNUMBER(SEARCH(TRANSPOSE(category!$E$2:$E$8), A463))*1, ROW(category!$E$2:$E$8)^0)&gt;0)*1)</f>
        <v>0</v>
      </c>
      <c r="H463" s="4" cm="1">
        <f t="array" ref="H463">SUM((MMULT(ISNUMBER(SEARCH(TRANSPOSE(category!$F$2:$F$9), A463))*1, ROW(category!$F$2:$F$9)^0)&gt;0)*1)</f>
        <v>0</v>
      </c>
    </row>
    <row r="464" spans="1:8" x14ac:dyDescent="0.45">
      <c r="A464" t="s">
        <v>940</v>
      </c>
      <c r="B464" s="6">
        <f t="shared" si="7"/>
        <v>5</v>
      </c>
      <c r="C464" s="4" cm="1">
        <f t="array" ref="C464">SUM((MMULT(ISNUMBER(SEARCH(TRANSPOSE(category!$A$2:$A$11), A464))*1, ROW(category!$A$2:$A$11)^0)&gt;0)*1)</f>
        <v>0</v>
      </c>
      <c r="D464" s="4" cm="1">
        <f t="array" ref="D464">SUM((MMULT(ISNUMBER(SEARCH(TRANSPOSE(category!$B$2:$B$25), A464))*1, ROW(category!$B$2:$B$25)^0)&gt;0)*1)</f>
        <v>1</v>
      </c>
      <c r="E464" s="4" cm="1">
        <f t="array" ref="E464">SUM((MMULT(ISNUMBER(SEARCH(TRANSPOSE(category!$C$2:$C$4), A464))*1, ROW(category!$C$2:$C$4)^0)&gt;0)*1)</f>
        <v>0</v>
      </c>
      <c r="F464" s="4" cm="1">
        <f t="array" ref="F464">SUM((MMULT(ISNUMBER(SEARCH(TRANSPOSE(category!$D$2:$D$10), A464))*1, ROW(category!$D$2:$D$10)^0)&gt;0)*1)</f>
        <v>0</v>
      </c>
      <c r="G464" s="4" cm="1">
        <f t="array" ref="G464">SUM((MMULT(ISNUMBER(SEARCH(TRANSPOSE(category!$E$2:$E$8), A464))*1, ROW(category!$E$2:$E$8)^0)&gt;0)*1)</f>
        <v>0</v>
      </c>
      <c r="H464" s="4" cm="1">
        <f t="array" ref="H464">SUM((MMULT(ISNUMBER(SEARCH(TRANSPOSE(category!$F$2:$F$9), A464))*1, ROW(category!$F$2:$F$9)^0)&gt;0)*1)</f>
        <v>0</v>
      </c>
    </row>
    <row r="465" spans="1:8" x14ac:dyDescent="0.45">
      <c r="A465" t="s">
        <v>942</v>
      </c>
      <c r="B465" s="6">
        <f t="shared" si="7"/>
        <v>2</v>
      </c>
      <c r="C465" s="4" cm="1">
        <f t="array" ref="C465">SUM((MMULT(ISNUMBER(SEARCH(TRANSPOSE(category!$A$2:$A$11), A465))*1, ROW(category!$A$2:$A$11)^0)&gt;0)*1)</f>
        <v>0</v>
      </c>
      <c r="D465" s="4" cm="1">
        <f t="array" ref="D465">SUM((MMULT(ISNUMBER(SEARCH(TRANSPOSE(category!$B$2:$B$25), A465))*1, ROW(category!$B$2:$B$25)^0)&gt;0)*1)</f>
        <v>1</v>
      </c>
      <c r="E465" s="4" cm="1">
        <f t="array" ref="E465">SUM((MMULT(ISNUMBER(SEARCH(TRANSPOSE(category!$C$2:$C$4), A465))*1, ROW(category!$C$2:$C$4)^0)&gt;0)*1)</f>
        <v>0</v>
      </c>
      <c r="F465" s="4" cm="1">
        <f t="array" ref="F465">SUM((MMULT(ISNUMBER(SEARCH(TRANSPOSE(category!$D$2:$D$10), A465))*1, ROW(category!$D$2:$D$10)^0)&gt;0)*1)</f>
        <v>0</v>
      </c>
      <c r="G465" s="4" cm="1">
        <f t="array" ref="G465">SUM((MMULT(ISNUMBER(SEARCH(TRANSPOSE(category!$E$2:$E$8), A465))*1, ROW(category!$E$2:$E$8)^0)&gt;0)*1)</f>
        <v>0</v>
      </c>
      <c r="H465" s="4" cm="1">
        <f t="array" ref="H465">SUM((MMULT(ISNUMBER(SEARCH(TRANSPOSE(category!$F$2:$F$9), A465))*1, ROW(category!$F$2:$F$9)^0)&gt;0)*1)</f>
        <v>0</v>
      </c>
    </row>
    <row r="466" spans="1:8" x14ac:dyDescent="0.45">
      <c r="A466" t="s">
        <v>944</v>
      </c>
      <c r="B466" s="6">
        <f t="shared" si="7"/>
        <v>6</v>
      </c>
      <c r="C466" s="4" cm="1">
        <f t="array" ref="C466">SUM((MMULT(ISNUMBER(SEARCH(TRANSPOSE(category!$A$2:$A$11), A466))*1, ROW(category!$A$2:$A$11)^0)&gt;0)*1)</f>
        <v>0</v>
      </c>
      <c r="D466" s="4" cm="1">
        <f t="array" ref="D466">SUM((MMULT(ISNUMBER(SEARCH(TRANSPOSE(category!$B$2:$B$25), A466))*1, ROW(category!$B$2:$B$25)^0)&gt;0)*1)</f>
        <v>0</v>
      </c>
      <c r="E466" s="4" cm="1">
        <f t="array" ref="E466">SUM((MMULT(ISNUMBER(SEARCH(TRANSPOSE(category!$C$2:$C$4), A466))*1, ROW(category!$C$2:$C$4)^0)&gt;0)*1)</f>
        <v>0</v>
      </c>
      <c r="F466" s="4" cm="1">
        <f t="array" ref="F466">SUM((MMULT(ISNUMBER(SEARCH(TRANSPOSE(category!$D$2:$D$10), A466))*1, ROW(category!$D$2:$D$10)^0)&gt;0)*1)</f>
        <v>0</v>
      </c>
      <c r="G466" s="4" cm="1">
        <f t="array" ref="G466">SUM((MMULT(ISNUMBER(SEARCH(TRANSPOSE(category!$E$2:$E$8), A466))*1, ROW(category!$E$2:$E$8)^0)&gt;0)*1)</f>
        <v>0</v>
      </c>
      <c r="H466" s="4" cm="1">
        <f t="array" ref="H466">SUM((MMULT(ISNUMBER(SEARCH(TRANSPOSE(category!$F$2:$F$9), A466))*1, ROW(category!$F$2:$F$9)^0)&gt;0)*1)</f>
        <v>0</v>
      </c>
    </row>
    <row r="467" spans="1:8" x14ac:dyDescent="0.45">
      <c r="A467" t="s">
        <v>946</v>
      </c>
      <c r="B467" s="6">
        <f t="shared" si="7"/>
        <v>4</v>
      </c>
      <c r="C467" s="4" cm="1">
        <f t="array" ref="C467">SUM((MMULT(ISNUMBER(SEARCH(TRANSPOSE(category!$A$2:$A$11), A467))*1, ROW(category!$A$2:$A$11)^0)&gt;0)*1)</f>
        <v>0</v>
      </c>
      <c r="D467" s="4" cm="1">
        <f t="array" ref="D467">SUM((MMULT(ISNUMBER(SEARCH(TRANSPOSE(category!$B$2:$B$25), A467))*1, ROW(category!$B$2:$B$25)^0)&gt;0)*1)</f>
        <v>1</v>
      </c>
      <c r="E467" s="4" cm="1">
        <f t="array" ref="E467">SUM((MMULT(ISNUMBER(SEARCH(TRANSPOSE(category!$C$2:$C$4), A467))*1, ROW(category!$C$2:$C$4)^0)&gt;0)*1)</f>
        <v>0</v>
      </c>
      <c r="F467" s="4" cm="1">
        <f t="array" ref="F467">SUM((MMULT(ISNUMBER(SEARCH(TRANSPOSE(category!$D$2:$D$10), A467))*1, ROW(category!$D$2:$D$10)^0)&gt;0)*1)</f>
        <v>0</v>
      </c>
      <c r="G467" s="4" cm="1">
        <f t="array" ref="G467">SUM((MMULT(ISNUMBER(SEARCH(TRANSPOSE(category!$E$2:$E$8), A467))*1, ROW(category!$E$2:$E$8)^0)&gt;0)*1)</f>
        <v>0</v>
      </c>
      <c r="H467" s="4" cm="1">
        <f t="array" ref="H467">SUM((MMULT(ISNUMBER(SEARCH(TRANSPOSE(category!$F$2:$F$9), A467))*1, ROW(category!$F$2:$F$9)^0)&gt;0)*1)</f>
        <v>0</v>
      </c>
    </row>
    <row r="468" spans="1:8" x14ac:dyDescent="0.45">
      <c r="A468" t="s">
        <v>948</v>
      </c>
      <c r="B468" s="6">
        <f t="shared" si="7"/>
        <v>3</v>
      </c>
      <c r="C468" s="4" cm="1">
        <f t="array" ref="C468">SUM((MMULT(ISNUMBER(SEARCH(TRANSPOSE(category!$A$2:$A$11), A468))*1, ROW(category!$A$2:$A$11)^0)&gt;0)*1)</f>
        <v>0</v>
      </c>
      <c r="D468" s="4" cm="1">
        <f t="array" ref="D468">SUM((MMULT(ISNUMBER(SEARCH(TRANSPOSE(category!$B$2:$B$25), A468))*1, ROW(category!$B$2:$B$25)^0)&gt;0)*1)</f>
        <v>1</v>
      </c>
      <c r="E468" s="4" cm="1">
        <f t="array" ref="E468">SUM((MMULT(ISNUMBER(SEARCH(TRANSPOSE(category!$C$2:$C$4), A468))*1, ROW(category!$C$2:$C$4)^0)&gt;0)*1)</f>
        <v>0</v>
      </c>
      <c r="F468" s="4" cm="1">
        <f t="array" ref="F468">SUM((MMULT(ISNUMBER(SEARCH(TRANSPOSE(category!$D$2:$D$10), A468))*1, ROW(category!$D$2:$D$10)^0)&gt;0)*1)</f>
        <v>0</v>
      </c>
      <c r="G468" s="4" cm="1">
        <f t="array" ref="G468">SUM((MMULT(ISNUMBER(SEARCH(TRANSPOSE(category!$E$2:$E$8), A468))*1, ROW(category!$E$2:$E$8)^0)&gt;0)*1)</f>
        <v>0</v>
      </c>
      <c r="H468" s="4" cm="1">
        <f t="array" ref="H468">SUM((MMULT(ISNUMBER(SEARCH(TRANSPOSE(category!$F$2:$F$9), A468))*1, ROW(category!$F$2:$F$9)^0)&gt;0)*1)</f>
        <v>0</v>
      </c>
    </row>
    <row r="469" spans="1:8" x14ac:dyDescent="0.45">
      <c r="A469" t="s">
        <v>570</v>
      </c>
      <c r="B469" s="6">
        <f t="shared" si="7"/>
        <v>2</v>
      </c>
      <c r="C469" s="4" cm="1">
        <f t="array" ref="C469">SUM((MMULT(ISNUMBER(SEARCH(TRANSPOSE(category!$A$2:$A$11), A469))*1, ROW(category!$A$2:$A$11)^0)&gt;0)*1)</f>
        <v>0</v>
      </c>
      <c r="D469" s="4" cm="1">
        <f t="array" ref="D469">SUM((MMULT(ISNUMBER(SEARCH(TRANSPOSE(category!$B$2:$B$25), A469))*1, ROW(category!$B$2:$B$25)^0)&gt;0)*1)</f>
        <v>1</v>
      </c>
      <c r="E469" s="4" cm="1">
        <f t="array" ref="E469">SUM((MMULT(ISNUMBER(SEARCH(TRANSPOSE(category!$C$2:$C$4), A469))*1, ROW(category!$C$2:$C$4)^0)&gt;0)*1)</f>
        <v>0</v>
      </c>
      <c r="F469" s="4" cm="1">
        <f t="array" ref="F469">SUM((MMULT(ISNUMBER(SEARCH(TRANSPOSE(category!$D$2:$D$10), A469))*1, ROW(category!$D$2:$D$10)^0)&gt;0)*1)</f>
        <v>0</v>
      </c>
      <c r="G469" s="4" cm="1">
        <f t="array" ref="G469">SUM((MMULT(ISNUMBER(SEARCH(TRANSPOSE(category!$E$2:$E$8), A469))*1, ROW(category!$E$2:$E$8)^0)&gt;0)*1)</f>
        <v>0</v>
      </c>
      <c r="H469" s="4" cm="1">
        <f t="array" ref="H469">SUM((MMULT(ISNUMBER(SEARCH(TRANSPOSE(category!$F$2:$F$9), A469))*1, ROW(category!$F$2:$F$9)^0)&gt;0)*1)</f>
        <v>0</v>
      </c>
    </row>
    <row r="470" spans="1:8" x14ac:dyDescent="0.45">
      <c r="A470" t="s">
        <v>676</v>
      </c>
      <c r="B470" s="6">
        <f t="shared" si="7"/>
        <v>5</v>
      </c>
      <c r="C470" s="4" cm="1">
        <f t="array" ref="C470">SUM((MMULT(ISNUMBER(SEARCH(TRANSPOSE(category!$A$2:$A$11), A470))*1, ROW(category!$A$2:$A$11)^0)&gt;0)*1)</f>
        <v>0</v>
      </c>
      <c r="D470" s="4" cm="1">
        <f t="array" ref="D470">SUM((MMULT(ISNUMBER(SEARCH(TRANSPOSE(category!$B$2:$B$25), A470))*1, ROW(category!$B$2:$B$25)^0)&gt;0)*1)</f>
        <v>1</v>
      </c>
      <c r="E470" s="4" cm="1">
        <f t="array" ref="E470">SUM((MMULT(ISNUMBER(SEARCH(TRANSPOSE(category!$C$2:$C$4), A470))*1, ROW(category!$C$2:$C$4)^0)&gt;0)*1)</f>
        <v>0</v>
      </c>
      <c r="F470" s="4" cm="1">
        <f t="array" ref="F470">SUM((MMULT(ISNUMBER(SEARCH(TRANSPOSE(category!$D$2:$D$10), A470))*1, ROW(category!$D$2:$D$10)^0)&gt;0)*1)</f>
        <v>0</v>
      </c>
      <c r="G470" s="4" cm="1">
        <f t="array" ref="G470">SUM((MMULT(ISNUMBER(SEARCH(TRANSPOSE(category!$E$2:$E$8), A470))*1, ROW(category!$E$2:$E$8)^0)&gt;0)*1)</f>
        <v>0</v>
      </c>
      <c r="H470" s="4" cm="1">
        <f t="array" ref="H470">SUM((MMULT(ISNUMBER(SEARCH(TRANSPOSE(category!$F$2:$F$9), A470))*1, ROW(category!$F$2:$F$9)^0)&gt;0)*1)</f>
        <v>0</v>
      </c>
    </row>
    <row r="471" spans="1:8" x14ac:dyDescent="0.45">
      <c r="A471" t="s">
        <v>952</v>
      </c>
      <c r="B471" s="6">
        <f t="shared" si="7"/>
        <v>4</v>
      </c>
      <c r="C471" s="4" cm="1">
        <f t="array" ref="C471">SUM((MMULT(ISNUMBER(SEARCH(TRANSPOSE(category!$A$2:$A$11), A471))*1, ROW(category!$A$2:$A$11)^0)&gt;0)*1)</f>
        <v>0</v>
      </c>
      <c r="D471" s="4" cm="1">
        <f t="array" ref="D471">SUM((MMULT(ISNUMBER(SEARCH(TRANSPOSE(category!$B$2:$B$25), A471))*1, ROW(category!$B$2:$B$25)^0)&gt;0)*1)</f>
        <v>1</v>
      </c>
      <c r="E471" s="4" cm="1">
        <f t="array" ref="E471">SUM((MMULT(ISNUMBER(SEARCH(TRANSPOSE(category!$C$2:$C$4), A471))*1, ROW(category!$C$2:$C$4)^0)&gt;0)*1)</f>
        <v>0</v>
      </c>
      <c r="F471" s="4" cm="1">
        <f t="array" ref="F471">SUM((MMULT(ISNUMBER(SEARCH(TRANSPOSE(category!$D$2:$D$10), A471))*1, ROW(category!$D$2:$D$10)^0)&gt;0)*1)</f>
        <v>0</v>
      </c>
      <c r="G471" s="4" cm="1">
        <f t="array" ref="G471">SUM((MMULT(ISNUMBER(SEARCH(TRANSPOSE(category!$E$2:$E$8), A471))*1, ROW(category!$E$2:$E$8)^0)&gt;0)*1)</f>
        <v>0</v>
      </c>
      <c r="H471" s="4" cm="1">
        <f t="array" ref="H471">SUM((MMULT(ISNUMBER(SEARCH(TRANSPOSE(category!$F$2:$F$9), A471))*1, ROW(category!$F$2:$F$9)^0)&gt;0)*1)</f>
        <v>0</v>
      </c>
    </row>
    <row r="472" spans="1:8" x14ac:dyDescent="0.45">
      <c r="A472" t="s">
        <v>700</v>
      </c>
      <c r="B472" s="6">
        <f t="shared" si="7"/>
        <v>2</v>
      </c>
      <c r="C472" s="4" cm="1">
        <f t="array" ref="C472">SUM((MMULT(ISNUMBER(SEARCH(TRANSPOSE(category!$A$2:$A$11), A472))*1, ROW(category!$A$2:$A$11)^0)&gt;0)*1)</f>
        <v>0</v>
      </c>
      <c r="D472" s="4" cm="1">
        <f t="array" ref="D472">SUM((MMULT(ISNUMBER(SEARCH(TRANSPOSE(category!$B$2:$B$25), A472))*1, ROW(category!$B$2:$B$25)^0)&gt;0)*1)</f>
        <v>1</v>
      </c>
      <c r="E472" s="4" cm="1">
        <f t="array" ref="E472">SUM((MMULT(ISNUMBER(SEARCH(TRANSPOSE(category!$C$2:$C$4), A472))*1, ROW(category!$C$2:$C$4)^0)&gt;0)*1)</f>
        <v>0</v>
      </c>
      <c r="F472" s="4" cm="1">
        <f t="array" ref="F472">SUM((MMULT(ISNUMBER(SEARCH(TRANSPOSE(category!$D$2:$D$10), A472))*1, ROW(category!$D$2:$D$10)^0)&gt;0)*1)</f>
        <v>0</v>
      </c>
      <c r="G472" s="4" cm="1">
        <f t="array" ref="G472">SUM((MMULT(ISNUMBER(SEARCH(TRANSPOSE(category!$E$2:$E$8), A472))*1, ROW(category!$E$2:$E$8)^0)&gt;0)*1)</f>
        <v>0</v>
      </c>
      <c r="H472" s="4" cm="1">
        <f t="array" ref="H472">SUM((MMULT(ISNUMBER(SEARCH(TRANSPOSE(category!$F$2:$F$9), A472))*1, ROW(category!$F$2:$F$9)^0)&gt;0)*1)</f>
        <v>0</v>
      </c>
    </row>
    <row r="473" spans="1:8" x14ac:dyDescent="0.45">
      <c r="A473" t="s">
        <v>955</v>
      </c>
      <c r="B473" s="6">
        <f t="shared" si="7"/>
        <v>4</v>
      </c>
      <c r="C473" s="4" cm="1">
        <f t="array" ref="C473">SUM((MMULT(ISNUMBER(SEARCH(TRANSPOSE(category!$A$2:$A$11), A473))*1, ROW(category!$A$2:$A$11)^0)&gt;0)*1)</f>
        <v>0</v>
      </c>
      <c r="D473" s="4" cm="1">
        <f t="array" ref="D473">SUM((MMULT(ISNUMBER(SEARCH(TRANSPOSE(category!$B$2:$B$25), A473))*1, ROW(category!$B$2:$B$25)^0)&gt;0)*1)</f>
        <v>0</v>
      </c>
      <c r="E473" s="4" cm="1">
        <f t="array" ref="E473">SUM((MMULT(ISNUMBER(SEARCH(TRANSPOSE(category!$C$2:$C$4), A473))*1, ROW(category!$C$2:$C$4)^0)&gt;0)*1)</f>
        <v>0</v>
      </c>
      <c r="F473" s="4" cm="1">
        <f t="array" ref="F473">SUM((MMULT(ISNUMBER(SEARCH(TRANSPOSE(category!$D$2:$D$10), A473))*1, ROW(category!$D$2:$D$10)^0)&gt;0)*1)</f>
        <v>0</v>
      </c>
      <c r="G473" s="4" cm="1">
        <f t="array" ref="G473">SUM((MMULT(ISNUMBER(SEARCH(TRANSPOSE(category!$E$2:$E$8), A473))*1, ROW(category!$E$2:$E$8)^0)&gt;0)*1)</f>
        <v>0</v>
      </c>
      <c r="H473" s="4" cm="1">
        <f t="array" ref="H473">SUM((MMULT(ISNUMBER(SEARCH(TRANSPOSE(category!$F$2:$F$9), A473))*1, ROW(category!$F$2:$F$9)^0)&gt;0)*1)</f>
        <v>0</v>
      </c>
    </row>
    <row r="474" spans="1:8" x14ac:dyDescent="0.45">
      <c r="A474" t="s">
        <v>848</v>
      </c>
      <c r="B474" s="6">
        <f t="shared" si="7"/>
        <v>1</v>
      </c>
      <c r="C474" s="4" cm="1">
        <f t="array" ref="C474">SUM((MMULT(ISNUMBER(SEARCH(TRANSPOSE(category!$A$2:$A$11), A474))*1, ROW(category!$A$2:$A$11)^0)&gt;0)*1)</f>
        <v>0</v>
      </c>
      <c r="D474" s="4" cm="1">
        <f t="array" ref="D474">SUM((MMULT(ISNUMBER(SEARCH(TRANSPOSE(category!$B$2:$B$25), A474))*1, ROW(category!$B$2:$B$25)^0)&gt;0)*1)</f>
        <v>1</v>
      </c>
      <c r="E474" s="4" cm="1">
        <f t="array" ref="E474">SUM((MMULT(ISNUMBER(SEARCH(TRANSPOSE(category!$C$2:$C$4), A474))*1, ROW(category!$C$2:$C$4)^0)&gt;0)*1)</f>
        <v>0</v>
      </c>
      <c r="F474" s="4" cm="1">
        <f t="array" ref="F474">SUM((MMULT(ISNUMBER(SEARCH(TRANSPOSE(category!$D$2:$D$10), A474))*1, ROW(category!$D$2:$D$10)^0)&gt;0)*1)</f>
        <v>0</v>
      </c>
      <c r="G474" s="4" cm="1">
        <f t="array" ref="G474">SUM((MMULT(ISNUMBER(SEARCH(TRANSPOSE(category!$E$2:$E$8), A474))*1, ROW(category!$E$2:$E$8)^0)&gt;0)*1)</f>
        <v>0</v>
      </c>
      <c r="H474" s="4" cm="1">
        <f t="array" ref="H474">SUM((MMULT(ISNUMBER(SEARCH(TRANSPOSE(category!$F$2:$F$9), A474))*1, ROW(category!$F$2:$F$9)^0)&gt;0)*1)</f>
        <v>0</v>
      </c>
    </row>
    <row r="475" spans="1:8" x14ac:dyDescent="0.45">
      <c r="A475" t="s">
        <v>848</v>
      </c>
      <c r="B475" s="6">
        <f t="shared" si="7"/>
        <v>1</v>
      </c>
      <c r="C475" s="4" cm="1">
        <f t="array" ref="C475">SUM((MMULT(ISNUMBER(SEARCH(TRANSPOSE(category!$A$2:$A$11), A475))*1, ROW(category!$A$2:$A$11)^0)&gt;0)*1)</f>
        <v>0</v>
      </c>
      <c r="D475" s="4" cm="1">
        <f t="array" ref="D475">SUM((MMULT(ISNUMBER(SEARCH(TRANSPOSE(category!$B$2:$B$25), A475))*1, ROW(category!$B$2:$B$25)^0)&gt;0)*1)</f>
        <v>1</v>
      </c>
      <c r="E475" s="4" cm="1">
        <f t="array" ref="E475">SUM((MMULT(ISNUMBER(SEARCH(TRANSPOSE(category!$C$2:$C$4), A475))*1, ROW(category!$C$2:$C$4)^0)&gt;0)*1)</f>
        <v>0</v>
      </c>
      <c r="F475" s="4" cm="1">
        <f t="array" ref="F475">SUM((MMULT(ISNUMBER(SEARCH(TRANSPOSE(category!$D$2:$D$10), A475))*1, ROW(category!$D$2:$D$10)^0)&gt;0)*1)</f>
        <v>0</v>
      </c>
      <c r="G475" s="4" cm="1">
        <f t="array" ref="G475">SUM((MMULT(ISNUMBER(SEARCH(TRANSPOSE(category!$E$2:$E$8), A475))*1, ROW(category!$E$2:$E$8)^0)&gt;0)*1)</f>
        <v>0</v>
      </c>
      <c r="H475" s="4" cm="1">
        <f t="array" ref="H475">SUM((MMULT(ISNUMBER(SEARCH(TRANSPOSE(category!$F$2:$F$9), A475))*1, ROW(category!$F$2:$F$9)^0)&gt;0)*1)</f>
        <v>0</v>
      </c>
    </row>
    <row r="476" spans="1:8" x14ac:dyDescent="0.45">
      <c r="A476" t="s">
        <v>959</v>
      </c>
      <c r="B476" s="6">
        <f t="shared" si="7"/>
        <v>2</v>
      </c>
      <c r="C476" s="4" cm="1">
        <f t="array" ref="C476">SUM((MMULT(ISNUMBER(SEARCH(TRANSPOSE(category!$A$2:$A$11), A476))*1, ROW(category!$A$2:$A$11)^0)&gt;0)*1)</f>
        <v>0</v>
      </c>
      <c r="D476" s="4" cm="1">
        <f t="array" ref="D476">SUM((MMULT(ISNUMBER(SEARCH(TRANSPOSE(category!$B$2:$B$25), A476))*1, ROW(category!$B$2:$B$25)^0)&gt;0)*1)</f>
        <v>0</v>
      </c>
      <c r="E476" s="4" cm="1">
        <f t="array" ref="E476">SUM((MMULT(ISNUMBER(SEARCH(TRANSPOSE(category!$C$2:$C$4), A476))*1, ROW(category!$C$2:$C$4)^0)&gt;0)*1)</f>
        <v>0</v>
      </c>
      <c r="F476" s="4" cm="1">
        <f t="array" ref="F476">SUM((MMULT(ISNUMBER(SEARCH(TRANSPOSE(category!$D$2:$D$10), A476))*1, ROW(category!$D$2:$D$10)^0)&gt;0)*1)</f>
        <v>0</v>
      </c>
      <c r="G476" s="4" cm="1">
        <f t="array" ref="G476">SUM((MMULT(ISNUMBER(SEARCH(TRANSPOSE(category!$E$2:$E$8), A476))*1, ROW(category!$E$2:$E$8)^0)&gt;0)*1)</f>
        <v>1</v>
      </c>
      <c r="H476" s="4" cm="1">
        <f t="array" ref="H476">SUM((MMULT(ISNUMBER(SEARCH(TRANSPOSE(category!$F$2:$F$9), A476))*1, ROW(category!$F$2:$F$9)^0)&gt;0)*1)</f>
        <v>0</v>
      </c>
    </row>
    <row r="477" spans="1:8" x14ac:dyDescent="0.45">
      <c r="A477" t="s">
        <v>848</v>
      </c>
      <c r="B477" s="6">
        <f t="shared" si="7"/>
        <v>1</v>
      </c>
      <c r="C477" s="4" cm="1">
        <f t="array" ref="C477">SUM((MMULT(ISNUMBER(SEARCH(TRANSPOSE(category!$A$2:$A$11), A477))*1, ROW(category!$A$2:$A$11)^0)&gt;0)*1)</f>
        <v>0</v>
      </c>
      <c r="D477" s="4" cm="1">
        <f t="array" ref="D477">SUM((MMULT(ISNUMBER(SEARCH(TRANSPOSE(category!$B$2:$B$25), A477))*1, ROW(category!$B$2:$B$25)^0)&gt;0)*1)</f>
        <v>1</v>
      </c>
      <c r="E477" s="4" cm="1">
        <f t="array" ref="E477">SUM((MMULT(ISNUMBER(SEARCH(TRANSPOSE(category!$C$2:$C$4), A477))*1, ROW(category!$C$2:$C$4)^0)&gt;0)*1)</f>
        <v>0</v>
      </c>
      <c r="F477" s="4" cm="1">
        <f t="array" ref="F477">SUM((MMULT(ISNUMBER(SEARCH(TRANSPOSE(category!$D$2:$D$10), A477))*1, ROW(category!$D$2:$D$10)^0)&gt;0)*1)</f>
        <v>0</v>
      </c>
      <c r="G477" s="4" cm="1">
        <f t="array" ref="G477">SUM((MMULT(ISNUMBER(SEARCH(TRANSPOSE(category!$E$2:$E$8), A477))*1, ROW(category!$E$2:$E$8)^0)&gt;0)*1)</f>
        <v>0</v>
      </c>
      <c r="H477" s="4" cm="1">
        <f t="array" ref="H477">SUM((MMULT(ISNUMBER(SEARCH(TRANSPOSE(category!$F$2:$F$9), A477))*1, ROW(category!$F$2:$F$9)^0)&gt;0)*1)</f>
        <v>0</v>
      </c>
    </row>
    <row r="478" spans="1:8" x14ac:dyDescent="0.45">
      <c r="A478" t="s">
        <v>848</v>
      </c>
      <c r="B478" s="6">
        <f t="shared" si="7"/>
        <v>1</v>
      </c>
      <c r="C478" s="4" cm="1">
        <f t="array" ref="C478">SUM((MMULT(ISNUMBER(SEARCH(TRANSPOSE(category!$A$2:$A$11), A478))*1, ROW(category!$A$2:$A$11)^0)&gt;0)*1)</f>
        <v>0</v>
      </c>
      <c r="D478" s="4" cm="1">
        <f t="array" ref="D478">SUM((MMULT(ISNUMBER(SEARCH(TRANSPOSE(category!$B$2:$B$25), A478))*1, ROW(category!$B$2:$B$25)^0)&gt;0)*1)</f>
        <v>1</v>
      </c>
      <c r="E478" s="4" cm="1">
        <f t="array" ref="E478">SUM((MMULT(ISNUMBER(SEARCH(TRANSPOSE(category!$C$2:$C$4), A478))*1, ROW(category!$C$2:$C$4)^0)&gt;0)*1)</f>
        <v>0</v>
      </c>
      <c r="F478" s="4" cm="1">
        <f t="array" ref="F478">SUM((MMULT(ISNUMBER(SEARCH(TRANSPOSE(category!$D$2:$D$10), A478))*1, ROW(category!$D$2:$D$10)^0)&gt;0)*1)</f>
        <v>0</v>
      </c>
      <c r="G478" s="4" cm="1">
        <f t="array" ref="G478">SUM((MMULT(ISNUMBER(SEARCH(TRANSPOSE(category!$E$2:$E$8), A478))*1, ROW(category!$E$2:$E$8)^0)&gt;0)*1)</f>
        <v>0</v>
      </c>
      <c r="H478" s="4" cm="1">
        <f t="array" ref="H478">SUM((MMULT(ISNUMBER(SEARCH(TRANSPOSE(category!$F$2:$F$9), A478))*1, ROW(category!$F$2:$F$9)^0)&gt;0)*1)</f>
        <v>0</v>
      </c>
    </row>
    <row r="479" spans="1:8" x14ac:dyDescent="0.45">
      <c r="A479" t="s">
        <v>848</v>
      </c>
      <c r="B479" s="6">
        <f t="shared" si="7"/>
        <v>1</v>
      </c>
      <c r="C479" s="4" cm="1">
        <f t="array" ref="C479">SUM((MMULT(ISNUMBER(SEARCH(TRANSPOSE(category!$A$2:$A$11), A479))*1, ROW(category!$A$2:$A$11)^0)&gt;0)*1)</f>
        <v>0</v>
      </c>
      <c r="D479" s="4" cm="1">
        <f t="array" ref="D479">SUM((MMULT(ISNUMBER(SEARCH(TRANSPOSE(category!$B$2:$B$25), A479))*1, ROW(category!$B$2:$B$25)^0)&gt;0)*1)</f>
        <v>1</v>
      </c>
      <c r="E479" s="4" cm="1">
        <f t="array" ref="E479">SUM((MMULT(ISNUMBER(SEARCH(TRANSPOSE(category!$C$2:$C$4), A479))*1, ROW(category!$C$2:$C$4)^0)&gt;0)*1)</f>
        <v>0</v>
      </c>
      <c r="F479" s="4" cm="1">
        <f t="array" ref="F479">SUM((MMULT(ISNUMBER(SEARCH(TRANSPOSE(category!$D$2:$D$10), A479))*1, ROW(category!$D$2:$D$10)^0)&gt;0)*1)</f>
        <v>0</v>
      </c>
      <c r="G479" s="4" cm="1">
        <f t="array" ref="G479">SUM((MMULT(ISNUMBER(SEARCH(TRANSPOSE(category!$E$2:$E$8), A479))*1, ROW(category!$E$2:$E$8)^0)&gt;0)*1)</f>
        <v>0</v>
      </c>
      <c r="H479" s="4" cm="1">
        <f t="array" ref="H479">SUM((MMULT(ISNUMBER(SEARCH(TRANSPOSE(category!$F$2:$F$9), A479))*1, ROW(category!$F$2:$F$9)^0)&gt;0)*1)</f>
        <v>0</v>
      </c>
    </row>
    <row r="480" spans="1:8" x14ac:dyDescent="0.45">
      <c r="A480" t="s">
        <v>965</v>
      </c>
      <c r="B480" s="6">
        <f t="shared" si="7"/>
        <v>4</v>
      </c>
      <c r="C480" s="4" cm="1">
        <f t="array" ref="C480">SUM((MMULT(ISNUMBER(SEARCH(TRANSPOSE(category!$A$2:$A$11), A480))*1, ROW(category!$A$2:$A$11)^0)&gt;0)*1)</f>
        <v>0</v>
      </c>
      <c r="D480" s="4" cm="1">
        <f t="array" ref="D480">SUM((MMULT(ISNUMBER(SEARCH(TRANSPOSE(category!$B$2:$B$25), A480))*1, ROW(category!$B$2:$B$25)^0)&gt;0)*1)</f>
        <v>1</v>
      </c>
      <c r="E480" s="4" cm="1">
        <f t="array" ref="E480">SUM((MMULT(ISNUMBER(SEARCH(TRANSPOSE(category!$C$2:$C$4), A480))*1, ROW(category!$C$2:$C$4)^0)&gt;0)*1)</f>
        <v>0</v>
      </c>
      <c r="F480" s="4" cm="1">
        <f t="array" ref="F480">SUM((MMULT(ISNUMBER(SEARCH(TRANSPOSE(category!$D$2:$D$10), A480))*1, ROW(category!$D$2:$D$10)^0)&gt;0)*1)</f>
        <v>0</v>
      </c>
      <c r="G480" s="4" cm="1">
        <f t="array" ref="G480">SUM((MMULT(ISNUMBER(SEARCH(TRANSPOSE(category!$E$2:$E$8), A480))*1, ROW(category!$E$2:$E$8)^0)&gt;0)*1)</f>
        <v>0</v>
      </c>
      <c r="H480" s="4" cm="1">
        <f t="array" ref="H480">SUM((MMULT(ISNUMBER(SEARCH(TRANSPOSE(category!$F$2:$F$9), A480))*1, ROW(category!$F$2:$F$9)^0)&gt;0)*1)</f>
        <v>0</v>
      </c>
    </row>
    <row r="481" spans="1:8" x14ac:dyDescent="0.45">
      <c r="A481" t="s">
        <v>967</v>
      </c>
      <c r="B481" s="6">
        <f t="shared" si="7"/>
        <v>2</v>
      </c>
      <c r="C481" s="4" cm="1">
        <f t="array" ref="C481">SUM((MMULT(ISNUMBER(SEARCH(TRANSPOSE(category!$A$2:$A$11), A481))*1, ROW(category!$A$2:$A$11)^0)&gt;0)*1)</f>
        <v>0</v>
      </c>
      <c r="D481" s="4" cm="1">
        <f t="array" ref="D481">SUM((MMULT(ISNUMBER(SEARCH(TRANSPOSE(category!$B$2:$B$25), A481))*1, ROW(category!$B$2:$B$25)^0)&gt;0)*1)</f>
        <v>1</v>
      </c>
      <c r="E481" s="4" cm="1">
        <f t="array" ref="E481">SUM((MMULT(ISNUMBER(SEARCH(TRANSPOSE(category!$C$2:$C$4), A481))*1, ROW(category!$C$2:$C$4)^0)&gt;0)*1)</f>
        <v>0</v>
      </c>
      <c r="F481" s="4" cm="1">
        <f t="array" ref="F481">SUM((MMULT(ISNUMBER(SEARCH(TRANSPOSE(category!$D$2:$D$10), A481))*1, ROW(category!$D$2:$D$10)^0)&gt;0)*1)</f>
        <v>0</v>
      </c>
      <c r="G481" s="4" cm="1">
        <f t="array" ref="G481">SUM((MMULT(ISNUMBER(SEARCH(TRANSPOSE(category!$E$2:$E$8), A481))*1, ROW(category!$E$2:$E$8)^0)&gt;0)*1)</f>
        <v>0</v>
      </c>
      <c r="H481" s="4" cm="1">
        <f t="array" ref="H481">SUM((MMULT(ISNUMBER(SEARCH(TRANSPOSE(category!$F$2:$F$9), A481))*1, ROW(category!$F$2:$F$9)^0)&gt;0)*1)</f>
        <v>0</v>
      </c>
    </row>
    <row r="482" spans="1:8" x14ac:dyDescent="0.45">
      <c r="A482" t="s">
        <v>969</v>
      </c>
      <c r="B482" s="6">
        <f t="shared" si="7"/>
        <v>1</v>
      </c>
      <c r="C482" s="4" cm="1">
        <f t="array" ref="C482">SUM((MMULT(ISNUMBER(SEARCH(TRANSPOSE(category!$A$2:$A$11), A482))*1, ROW(category!$A$2:$A$11)^0)&gt;0)*1)</f>
        <v>0</v>
      </c>
      <c r="D482" s="4" cm="1">
        <f t="array" ref="D482">SUM((MMULT(ISNUMBER(SEARCH(TRANSPOSE(category!$B$2:$B$25), A482))*1, ROW(category!$B$2:$B$25)^0)&gt;0)*1)</f>
        <v>0</v>
      </c>
      <c r="E482" s="4" cm="1">
        <f t="array" ref="E482">SUM((MMULT(ISNUMBER(SEARCH(TRANSPOSE(category!$C$2:$C$4), A482))*1, ROW(category!$C$2:$C$4)^0)&gt;0)*1)</f>
        <v>0</v>
      </c>
      <c r="F482" s="4" cm="1">
        <f t="array" ref="F482">SUM((MMULT(ISNUMBER(SEARCH(TRANSPOSE(category!$D$2:$D$10), A482))*1, ROW(category!$D$2:$D$10)^0)&gt;0)*1)</f>
        <v>0</v>
      </c>
      <c r="G482" s="4" cm="1">
        <f t="array" ref="G482">SUM((MMULT(ISNUMBER(SEARCH(TRANSPOSE(category!$E$2:$E$8), A482))*1, ROW(category!$E$2:$E$8)^0)&gt;0)*1)</f>
        <v>0</v>
      </c>
      <c r="H482" s="4" cm="1">
        <f t="array" ref="H482">SUM((MMULT(ISNUMBER(SEARCH(TRANSPOSE(category!$F$2:$F$9), A482))*1, ROW(category!$F$2:$F$9)^0)&gt;0)*1)</f>
        <v>0</v>
      </c>
    </row>
    <row r="483" spans="1:8" x14ac:dyDescent="0.45">
      <c r="A483" t="s">
        <v>972</v>
      </c>
      <c r="B483" s="6">
        <f t="shared" si="7"/>
        <v>63</v>
      </c>
      <c r="C483" s="4" cm="1">
        <f t="array" ref="C483">SUM((MMULT(ISNUMBER(SEARCH(TRANSPOSE(category!$A$2:$A$11), A483))*1, ROW(category!$A$2:$A$11)^0)&gt;0)*1)</f>
        <v>1</v>
      </c>
      <c r="D483" s="4" cm="1">
        <f t="array" ref="D483">SUM((MMULT(ISNUMBER(SEARCH(TRANSPOSE(category!$B$2:$B$25), A483))*1, ROW(category!$B$2:$B$25)^0)&gt;0)*1)</f>
        <v>1</v>
      </c>
      <c r="E483" s="4" cm="1">
        <f t="array" ref="E483">SUM((MMULT(ISNUMBER(SEARCH(TRANSPOSE(category!$C$2:$C$4), A483))*1, ROW(category!$C$2:$C$4)^0)&gt;0)*1)</f>
        <v>0</v>
      </c>
      <c r="F483" s="4" cm="1">
        <f t="array" ref="F483">SUM((MMULT(ISNUMBER(SEARCH(TRANSPOSE(category!$D$2:$D$10), A483))*1, ROW(category!$D$2:$D$10)^0)&gt;0)*1)</f>
        <v>1</v>
      </c>
      <c r="G483" s="4" cm="1">
        <f t="array" ref="G483">SUM((MMULT(ISNUMBER(SEARCH(TRANSPOSE(category!$E$2:$E$8), A483))*1, ROW(category!$E$2:$E$8)^0)&gt;0)*1)</f>
        <v>0</v>
      </c>
      <c r="H483" s="4" cm="1">
        <f t="array" ref="H483">SUM((MMULT(ISNUMBER(SEARCH(TRANSPOSE(category!$F$2:$F$9), A483))*1, ROW(category!$F$2:$F$9)^0)&gt;0)*1)</f>
        <v>0</v>
      </c>
    </row>
    <row r="484" spans="1:8" x14ac:dyDescent="0.45">
      <c r="A484" t="s">
        <v>975</v>
      </c>
      <c r="B484" s="6">
        <f t="shared" si="7"/>
        <v>20</v>
      </c>
      <c r="C484" s="4" cm="1">
        <f t="array" ref="C484">SUM((MMULT(ISNUMBER(SEARCH(TRANSPOSE(category!$A$2:$A$11), A484))*1, ROW(category!$A$2:$A$11)^0)&gt;0)*1)</f>
        <v>0</v>
      </c>
      <c r="D484" s="4" cm="1">
        <f t="array" ref="D484">SUM((MMULT(ISNUMBER(SEARCH(TRANSPOSE(category!$B$2:$B$25), A484))*1, ROW(category!$B$2:$B$25)^0)&gt;0)*1)</f>
        <v>1</v>
      </c>
      <c r="E484" s="4" cm="1">
        <f t="array" ref="E484">SUM((MMULT(ISNUMBER(SEARCH(TRANSPOSE(category!$C$2:$C$4), A484))*1, ROW(category!$C$2:$C$4)^0)&gt;0)*1)</f>
        <v>0</v>
      </c>
      <c r="F484" s="4" cm="1">
        <f t="array" ref="F484">SUM((MMULT(ISNUMBER(SEARCH(TRANSPOSE(category!$D$2:$D$10), A484))*1, ROW(category!$D$2:$D$10)^0)&gt;0)*1)</f>
        <v>0</v>
      </c>
      <c r="G484" s="4" cm="1">
        <f t="array" ref="G484">SUM((MMULT(ISNUMBER(SEARCH(TRANSPOSE(category!$E$2:$E$8), A484))*1, ROW(category!$E$2:$E$8)^0)&gt;0)*1)</f>
        <v>0</v>
      </c>
      <c r="H484" s="4" cm="1">
        <f t="array" ref="H484">SUM((MMULT(ISNUMBER(SEARCH(TRANSPOSE(category!$F$2:$F$9), A484))*1, ROW(category!$F$2:$F$9)^0)&gt;0)*1)</f>
        <v>0</v>
      </c>
    </row>
    <row r="485" spans="1:8" x14ac:dyDescent="0.45">
      <c r="A485" t="s">
        <v>977</v>
      </c>
      <c r="B485" s="6">
        <f t="shared" si="7"/>
        <v>185</v>
      </c>
      <c r="C485" s="4" cm="1">
        <f t="array" ref="C485">SUM((MMULT(ISNUMBER(SEARCH(TRANSPOSE(category!$A$2:$A$11), A485))*1, ROW(category!$A$2:$A$11)^0)&gt;0)*1)</f>
        <v>1</v>
      </c>
      <c r="D485" s="4" cm="1">
        <f t="array" ref="D485">SUM((MMULT(ISNUMBER(SEARCH(TRANSPOSE(category!$B$2:$B$25), A485))*1, ROW(category!$B$2:$B$25)^0)&gt;0)*1)</f>
        <v>1</v>
      </c>
      <c r="E485" s="4" cm="1">
        <f t="array" ref="E485">SUM((MMULT(ISNUMBER(SEARCH(TRANSPOSE(category!$C$2:$C$4), A485))*1, ROW(category!$C$2:$C$4)^0)&gt;0)*1)</f>
        <v>0</v>
      </c>
      <c r="F485" s="4" cm="1">
        <f t="array" ref="F485">SUM((MMULT(ISNUMBER(SEARCH(TRANSPOSE(category!$D$2:$D$10), A485))*1, ROW(category!$D$2:$D$10)^0)&gt;0)*1)</f>
        <v>1</v>
      </c>
      <c r="G485" s="4" cm="1">
        <f t="array" ref="G485">SUM((MMULT(ISNUMBER(SEARCH(TRANSPOSE(category!$E$2:$E$8), A485))*1, ROW(category!$E$2:$E$8)^0)&gt;0)*1)</f>
        <v>1</v>
      </c>
      <c r="H485" s="4" cm="1">
        <f t="array" ref="H485">SUM((MMULT(ISNUMBER(SEARCH(TRANSPOSE(category!$F$2:$F$9), A485))*1, ROW(category!$F$2:$F$9)^0)&gt;0)*1)</f>
        <v>1</v>
      </c>
    </row>
    <row r="486" spans="1:8" x14ac:dyDescent="0.45">
      <c r="A486" t="s">
        <v>980</v>
      </c>
      <c r="B486" s="6">
        <f t="shared" si="7"/>
        <v>57</v>
      </c>
      <c r="C486" s="4" cm="1">
        <f t="array" ref="C486">SUM((MMULT(ISNUMBER(SEARCH(TRANSPOSE(category!$A$2:$A$11), A486))*1, ROW(category!$A$2:$A$11)^0)&gt;0)*1)</f>
        <v>1</v>
      </c>
      <c r="D486" s="4" cm="1">
        <f t="array" ref="D486">SUM((MMULT(ISNUMBER(SEARCH(TRANSPOSE(category!$B$2:$B$25), A486))*1, ROW(category!$B$2:$B$25)^0)&gt;0)*1)</f>
        <v>1</v>
      </c>
      <c r="E486" s="4" cm="1">
        <f t="array" ref="E486">SUM((MMULT(ISNUMBER(SEARCH(TRANSPOSE(category!$C$2:$C$4), A486))*1, ROW(category!$C$2:$C$4)^0)&gt;0)*1)</f>
        <v>1</v>
      </c>
      <c r="F486" s="4" cm="1">
        <f t="array" ref="F486">SUM((MMULT(ISNUMBER(SEARCH(TRANSPOSE(category!$D$2:$D$10), A486))*1, ROW(category!$D$2:$D$10)^0)&gt;0)*1)</f>
        <v>1</v>
      </c>
      <c r="G486" s="4" cm="1">
        <f t="array" ref="G486">SUM((MMULT(ISNUMBER(SEARCH(TRANSPOSE(category!$E$2:$E$8), A486))*1, ROW(category!$E$2:$E$8)^0)&gt;0)*1)</f>
        <v>0</v>
      </c>
      <c r="H486" s="4" cm="1">
        <f t="array" ref="H486">SUM((MMULT(ISNUMBER(SEARCH(TRANSPOSE(category!$F$2:$F$9), A486))*1, ROW(category!$F$2:$F$9)^0)&gt;0)*1)</f>
        <v>0</v>
      </c>
    </row>
    <row r="487" spans="1:8" x14ac:dyDescent="0.45">
      <c r="A487" t="s">
        <v>982</v>
      </c>
      <c r="B487" s="6">
        <f t="shared" si="7"/>
        <v>68</v>
      </c>
      <c r="C487" s="4" cm="1">
        <f t="array" ref="C487">SUM((MMULT(ISNUMBER(SEARCH(TRANSPOSE(category!$A$2:$A$11), A487))*1, ROW(category!$A$2:$A$11)^0)&gt;0)*1)</f>
        <v>1</v>
      </c>
      <c r="D487" s="4" cm="1">
        <f t="array" ref="D487">SUM((MMULT(ISNUMBER(SEARCH(TRANSPOSE(category!$B$2:$B$25), A487))*1, ROW(category!$B$2:$B$25)^0)&gt;0)*1)</f>
        <v>1</v>
      </c>
      <c r="E487" s="4" cm="1">
        <f t="array" ref="E487">SUM((MMULT(ISNUMBER(SEARCH(TRANSPOSE(category!$C$2:$C$4), A487))*1, ROW(category!$C$2:$C$4)^0)&gt;0)*1)</f>
        <v>0</v>
      </c>
      <c r="F487" s="4" cm="1">
        <f t="array" ref="F487">SUM((MMULT(ISNUMBER(SEARCH(TRANSPOSE(category!$D$2:$D$10), A487))*1, ROW(category!$D$2:$D$10)^0)&gt;0)*1)</f>
        <v>1</v>
      </c>
      <c r="G487" s="4" cm="1">
        <f t="array" ref="G487">SUM((MMULT(ISNUMBER(SEARCH(TRANSPOSE(category!$E$2:$E$8), A487))*1, ROW(category!$E$2:$E$8)^0)&gt;0)*1)</f>
        <v>0</v>
      </c>
      <c r="H487" s="4" cm="1">
        <f t="array" ref="H487">SUM((MMULT(ISNUMBER(SEARCH(TRANSPOSE(category!$F$2:$F$9), A487))*1, ROW(category!$F$2:$F$9)^0)&gt;0)*1)</f>
        <v>1</v>
      </c>
    </row>
    <row r="488" spans="1:8" x14ac:dyDescent="0.45">
      <c r="A488" t="s">
        <v>984</v>
      </c>
      <c r="B488" s="6">
        <f t="shared" si="7"/>
        <v>33</v>
      </c>
      <c r="C488" s="4" cm="1">
        <f t="array" ref="C488">SUM((MMULT(ISNUMBER(SEARCH(TRANSPOSE(category!$A$2:$A$11), A488))*1, ROW(category!$A$2:$A$11)^0)&gt;0)*1)</f>
        <v>0</v>
      </c>
      <c r="D488" s="4" cm="1">
        <f t="array" ref="D488">SUM((MMULT(ISNUMBER(SEARCH(TRANSPOSE(category!$B$2:$B$25), A488))*1, ROW(category!$B$2:$B$25)^0)&gt;0)*1)</f>
        <v>1</v>
      </c>
      <c r="E488" s="4" cm="1">
        <f t="array" ref="E488">SUM((MMULT(ISNUMBER(SEARCH(TRANSPOSE(category!$C$2:$C$4), A488))*1, ROW(category!$C$2:$C$4)^0)&gt;0)*1)</f>
        <v>0</v>
      </c>
      <c r="F488" s="4" cm="1">
        <f t="array" ref="F488">SUM((MMULT(ISNUMBER(SEARCH(TRANSPOSE(category!$D$2:$D$10), A488))*1, ROW(category!$D$2:$D$10)^0)&gt;0)*1)</f>
        <v>0</v>
      </c>
      <c r="G488" s="4" cm="1">
        <f t="array" ref="G488">SUM((MMULT(ISNUMBER(SEARCH(TRANSPOSE(category!$E$2:$E$8), A488))*1, ROW(category!$E$2:$E$8)^0)&gt;0)*1)</f>
        <v>0</v>
      </c>
      <c r="H488" s="4" cm="1">
        <f t="array" ref="H488">SUM((MMULT(ISNUMBER(SEARCH(TRANSPOSE(category!$F$2:$F$9), A488))*1, ROW(category!$F$2:$F$9)^0)&gt;0)*1)</f>
        <v>0</v>
      </c>
    </row>
    <row r="489" spans="1:8" x14ac:dyDescent="0.45">
      <c r="A489" t="s">
        <v>986</v>
      </c>
      <c r="B489" s="6">
        <f t="shared" si="7"/>
        <v>20</v>
      </c>
      <c r="C489" s="4" cm="1">
        <f t="array" ref="C489">SUM((MMULT(ISNUMBER(SEARCH(TRANSPOSE(category!$A$2:$A$11), A489))*1, ROW(category!$A$2:$A$11)^0)&gt;0)*1)</f>
        <v>1</v>
      </c>
      <c r="D489" s="4" cm="1">
        <f t="array" ref="D489">SUM((MMULT(ISNUMBER(SEARCH(TRANSPOSE(category!$B$2:$B$25), A489))*1, ROW(category!$B$2:$B$25)^0)&gt;0)*1)</f>
        <v>1</v>
      </c>
      <c r="E489" s="4" cm="1">
        <f t="array" ref="E489">SUM((MMULT(ISNUMBER(SEARCH(TRANSPOSE(category!$C$2:$C$4), A489))*1, ROW(category!$C$2:$C$4)^0)&gt;0)*1)</f>
        <v>0</v>
      </c>
      <c r="F489" s="4" cm="1">
        <f t="array" ref="F489">SUM((MMULT(ISNUMBER(SEARCH(TRANSPOSE(category!$D$2:$D$10), A489))*1, ROW(category!$D$2:$D$10)^0)&gt;0)*1)</f>
        <v>1</v>
      </c>
      <c r="G489" s="4" cm="1">
        <f t="array" ref="G489">SUM((MMULT(ISNUMBER(SEARCH(TRANSPOSE(category!$E$2:$E$8), A489))*1, ROW(category!$E$2:$E$8)^0)&gt;0)*1)</f>
        <v>0</v>
      </c>
      <c r="H489" s="4" cm="1">
        <f t="array" ref="H489">SUM((MMULT(ISNUMBER(SEARCH(TRANSPOSE(category!$F$2:$F$9), A489))*1, ROW(category!$F$2:$F$9)^0)&gt;0)*1)</f>
        <v>0</v>
      </c>
    </row>
    <row r="490" spans="1:8" x14ac:dyDescent="0.45">
      <c r="A490" t="s">
        <v>988</v>
      </c>
      <c r="B490" s="6">
        <f t="shared" si="7"/>
        <v>123</v>
      </c>
      <c r="C490" s="4" cm="1">
        <f t="array" ref="C490">SUM((MMULT(ISNUMBER(SEARCH(TRANSPOSE(category!$A$2:$A$11), A490))*1, ROW(category!$A$2:$A$11)^0)&gt;0)*1)</f>
        <v>1</v>
      </c>
      <c r="D490" s="4" cm="1">
        <f t="array" ref="D490">SUM((MMULT(ISNUMBER(SEARCH(TRANSPOSE(category!$B$2:$B$25), A490))*1, ROW(category!$B$2:$B$25)^0)&gt;0)*1)</f>
        <v>1</v>
      </c>
      <c r="E490" s="4" cm="1">
        <f t="array" ref="E490">SUM((MMULT(ISNUMBER(SEARCH(TRANSPOSE(category!$C$2:$C$4), A490))*1, ROW(category!$C$2:$C$4)^0)&gt;0)*1)</f>
        <v>0</v>
      </c>
      <c r="F490" s="4" cm="1">
        <f t="array" ref="F490">SUM((MMULT(ISNUMBER(SEARCH(TRANSPOSE(category!$D$2:$D$10), A490))*1, ROW(category!$D$2:$D$10)^0)&gt;0)*1)</f>
        <v>1</v>
      </c>
      <c r="G490" s="4" cm="1">
        <f t="array" ref="G490">SUM((MMULT(ISNUMBER(SEARCH(TRANSPOSE(category!$E$2:$E$8), A490))*1, ROW(category!$E$2:$E$8)^0)&gt;0)*1)</f>
        <v>0</v>
      </c>
      <c r="H490" s="4" cm="1">
        <f t="array" ref="H490">SUM((MMULT(ISNUMBER(SEARCH(TRANSPOSE(category!$F$2:$F$9), A490))*1, ROW(category!$F$2:$F$9)^0)&gt;0)*1)</f>
        <v>0</v>
      </c>
    </row>
    <row r="491" spans="1:8" x14ac:dyDescent="0.45">
      <c r="A491" t="s">
        <v>990</v>
      </c>
      <c r="B491" s="6">
        <f t="shared" si="7"/>
        <v>76</v>
      </c>
      <c r="C491" s="4" cm="1">
        <f t="array" ref="C491">SUM((MMULT(ISNUMBER(SEARCH(TRANSPOSE(category!$A$2:$A$11), A491))*1, ROW(category!$A$2:$A$11)^0)&gt;0)*1)</f>
        <v>1</v>
      </c>
      <c r="D491" s="4" cm="1">
        <f t="array" ref="D491">SUM((MMULT(ISNUMBER(SEARCH(TRANSPOSE(category!$B$2:$B$25), A491))*1, ROW(category!$B$2:$B$25)^0)&gt;0)*1)</f>
        <v>1</v>
      </c>
      <c r="E491" s="4" cm="1">
        <f t="array" ref="E491">SUM((MMULT(ISNUMBER(SEARCH(TRANSPOSE(category!$C$2:$C$4), A491))*1, ROW(category!$C$2:$C$4)^0)&gt;0)*1)</f>
        <v>0</v>
      </c>
      <c r="F491" s="4" cm="1">
        <f t="array" ref="F491">SUM((MMULT(ISNUMBER(SEARCH(TRANSPOSE(category!$D$2:$D$10), A491))*1, ROW(category!$D$2:$D$10)^0)&gt;0)*1)</f>
        <v>1</v>
      </c>
      <c r="G491" s="4" cm="1">
        <f t="array" ref="G491">SUM((MMULT(ISNUMBER(SEARCH(TRANSPOSE(category!$E$2:$E$8), A491))*1, ROW(category!$E$2:$E$8)^0)&gt;0)*1)</f>
        <v>0</v>
      </c>
      <c r="H491" s="4" cm="1">
        <f t="array" ref="H491">SUM((MMULT(ISNUMBER(SEARCH(TRANSPOSE(category!$F$2:$F$9), A491))*1, ROW(category!$F$2:$F$9)^0)&gt;0)*1)</f>
        <v>0</v>
      </c>
    </row>
    <row r="492" spans="1:8" x14ac:dyDescent="0.45">
      <c r="A492" t="s">
        <v>992</v>
      </c>
      <c r="B492" s="6">
        <f t="shared" si="7"/>
        <v>54</v>
      </c>
      <c r="C492" s="4" cm="1">
        <f t="array" ref="C492">SUM((MMULT(ISNUMBER(SEARCH(TRANSPOSE(category!$A$2:$A$11), A492))*1, ROW(category!$A$2:$A$11)^0)&gt;0)*1)</f>
        <v>1</v>
      </c>
      <c r="D492" s="4" cm="1">
        <f t="array" ref="D492">SUM((MMULT(ISNUMBER(SEARCH(TRANSPOSE(category!$B$2:$B$25), A492))*1, ROW(category!$B$2:$B$25)^0)&gt;0)*1)</f>
        <v>1</v>
      </c>
      <c r="E492" s="4" cm="1">
        <f t="array" ref="E492">SUM((MMULT(ISNUMBER(SEARCH(TRANSPOSE(category!$C$2:$C$4), A492))*1, ROW(category!$C$2:$C$4)^0)&gt;0)*1)</f>
        <v>0</v>
      </c>
      <c r="F492" s="4" cm="1">
        <f t="array" ref="F492">SUM((MMULT(ISNUMBER(SEARCH(TRANSPOSE(category!$D$2:$D$10), A492))*1, ROW(category!$D$2:$D$10)^0)&gt;0)*1)</f>
        <v>1</v>
      </c>
      <c r="G492" s="4" cm="1">
        <f t="array" ref="G492">SUM((MMULT(ISNUMBER(SEARCH(TRANSPOSE(category!$E$2:$E$8), A492))*1, ROW(category!$E$2:$E$8)^0)&gt;0)*1)</f>
        <v>0</v>
      </c>
      <c r="H492" s="4" cm="1">
        <f t="array" ref="H492">SUM((MMULT(ISNUMBER(SEARCH(TRANSPOSE(category!$F$2:$F$9), A492))*1, ROW(category!$F$2:$F$9)^0)&gt;0)*1)</f>
        <v>0</v>
      </c>
    </row>
    <row r="493" spans="1:8" x14ac:dyDescent="0.45">
      <c r="A493" t="s">
        <v>994</v>
      </c>
      <c r="B493" s="6">
        <f t="shared" si="7"/>
        <v>17</v>
      </c>
      <c r="C493" s="4" cm="1">
        <f t="array" ref="C493">SUM((MMULT(ISNUMBER(SEARCH(TRANSPOSE(category!$A$2:$A$11), A493))*1, ROW(category!$A$2:$A$11)^0)&gt;0)*1)</f>
        <v>0</v>
      </c>
      <c r="D493" s="4" cm="1">
        <f t="array" ref="D493">SUM((MMULT(ISNUMBER(SEARCH(TRANSPOSE(category!$B$2:$B$25), A493))*1, ROW(category!$B$2:$B$25)^0)&gt;0)*1)</f>
        <v>1</v>
      </c>
      <c r="E493" s="4" cm="1">
        <f t="array" ref="E493">SUM((MMULT(ISNUMBER(SEARCH(TRANSPOSE(category!$C$2:$C$4), A493))*1, ROW(category!$C$2:$C$4)^0)&gt;0)*1)</f>
        <v>0</v>
      </c>
      <c r="F493" s="4" cm="1">
        <f t="array" ref="F493">SUM((MMULT(ISNUMBER(SEARCH(TRANSPOSE(category!$D$2:$D$10), A493))*1, ROW(category!$D$2:$D$10)^0)&gt;0)*1)</f>
        <v>1</v>
      </c>
      <c r="G493" s="4" cm="1">
        <f t="array" ref="G493">SUM((MMULT(ISNUMBER(SEARCH(TRANSPOSE(category!$E$2:$E$8), A493))*1, ROW(category!$E$2:$E$8)^0)&gt;0)*1)</f>
        <v>0</v>
      </c>
      <c r="H493" s="4" cm="1">
        <f t="array" ref="H493">SUM((MMULT(ISNUMBER(SEARCH(TRANSPOSE(category!$F$2:$F$9), A493))*1, ROW(category!$F$2:$F$9)^0)&gt;0)*1)</f>
        <v>0</v>
      </c>
    </row>
    <row r="494" spans="1:8" x14ac:dyDescent="0.45">
      <c r="A494" t="s">
        <v>996</v>
      </c>
      <c r="B494" s="6">
        <f t="shared" si="7"/>
        <v>22</v>
      </c>
      <c r="C494" s="4" cm="1">
        <f t="array" ref="C494">SUM((MMULT(ISNUMBER(SEARCH(TRANSPOSE(category!$A$2:$A$11), A494))*1, ROW(category!$A$2:$A$11)^0)&gt;0)*1)</f>
        <v>1</v>
      </c>
      <c r="D494" s="4" cm="1">
        <f t="array" ref="D494">SUM((MMULT(ISNUMBER(SEARCH(TRANSPOSE(category!$B$2:$B$25), A494))*1, ROW(category!$B$2:$B$25)^0)&gt;0)*1)</f>
        <v>1</v>
      </c>
      <c r="E494" s="4" cm="1">
        <f t="array" ref="E494">SUM((MMULT(ISNUMBER(SEARCH(TRANSPOSE(category!$C$2:$C$4), A494))*1, ROW(category!$C$2:$C$4)^0)&gt;0)*1)</f>
        <v>0</v>
      </c>
      <c r="F494" s="4" cm="1">
        <f t="array" ref="F494">SUM((MMULT(ISNUMBER(SEARCH(TRANSPOSE(category!$D$2:$D$10), A494))*1, ROW(category!$D$2:$D$10)^0)&gt;0)*1)</f>
        <v>0</v>
      </c>
      <c r="G494" s="4" cm="1">
        <f t="array" ref="G494">SUM((MMULT(ISNUMBER(SEARCH(TRANSPOSE(category!$E$2:$E$8), A494))*1, ROW(category!$E$2:$E$8)^0)&gt;0)*1)</f>
        <v>0</v>
      </c>
      <c r="H494" s="4" cm="1">
        <f t="array" ref="H494">SUM((MMULT(ISNUMBER(SEARCH(TRANSPOSE(category!$F$2:$F$9), A494))*1, ROW(category!$F$2:$F$9)^0)&gt;0)*1)</f>
        <v>0</v>
      </c>
    </row>
    <row r="495" spans="1:8" x14ac:dyDescent="0.45">
      <c r="A495" t="s">
        <v>998</v>
      </c>
      <c r="B495" s="6">
        <f t="shared" si="7"/>
        <v>18</v>
      </c>
      <c r="C495" s="4" cm="1">
        <f t="array" ref="C495">SUM((MMULT(ISNUMBER(SEARCH(TRANSPOSE(category!$A$2:$A$11), A495))*1, ROW(category!$A$2:$A$11)^0)&gt;0)*1)</f>
        <v>1</v>
      </c>
      <c r="D495" s="4" cm="1">
        <f t="array" ref="D495">SUM((MMULT(ISNUMBER(SEARCH(TRANSPOSE(category!$B$2:$B$25), A495))*1, ROW(category!$B$2:$B$25)^0)&gt;0)*1)</f>
        <v>1</v>
      </c>
      <c r="E495" s="4" cm="1">
        <f t="array" ref="E495">SUM((MMULT(ISNUMBER(SEARCH(TRANSPOSE(category!$C$2:$C$4), A495))*1, ROW(category!$C$2:$C$4)^0)&gt;0)*1)</f>
        <v>0</v>
      </c>
      <c r="F495" s="4" cm="1">
        <f t="array" ref="F495">SUM((MMULT(ISNUMBER(SEARCH(TRANSPOSE(category!$D$2:$D$10), A495))*1, ROW(category!$D$2:$D$10)^0)&gt;0)*1)</f>
        <v>1</v>
      </c>
      <c r="G495" s="4" cm="1">
        <f t="array" ref="G495">SUM((MMULT(ISNUMBER(SEARCH(TRANSPOSE(category!$E$2:$E$8), A495))*1, ROW(category!$E$2:$E$8)^0)&gt;0)*1)</f>
        <v>0</v>
      </c>
      <c r="H495" s="4" cm="1">
        <f t="array" ref="H495">SUM((MMULT(ISNUMBER(SEARCH(TRANSPOSE(category!$F$2:$F$9), A495))*1, ROW(category!$F$2:$F$9)^0)&gt;0)*1)</f>
        <v>0</v>
      </c>
    </row>
    <row r="496" spans="1:8" x14ac:dyDescent="0.45">
      <c r="A496" t="s">
        <v>1001</v>
      </c>
      <c r="B496" s="6">
        <f t="shared" si="7"/>
        <v>16</v>
      </c>
      <c r="C496" s="4" cm="1">
        <f t="array" ref="C496">SUM((MMULT(ISNUMBER(SEARCH(TRANSPOSE(category!$A$2:$A$11), A496))*1, ROW(category!$A$2:$A$11)^0)&gt;0)*1)</f>
        <v>0</v>
      </c>
      <c r="D496" s="4" cm="1">
        <f t="array" ref="D496">SUM((MMULT(ISNUMBER(SEARCH(TRANSPOSE(category!$B$2:$B$25), A496))*1, ROW(category!$B$2:$B$25)^0)&gt;0)*1)</f>
        <v>1</v>
      </c>
      <c r="E496" s="4" cm="1">
        <f t="array" ref="E496">SUM((MMULT(ISNUMBER(SEARCH(TRANSPOSE(category!$C$2:$C$4), A496))*1, ROW(category!$C$2:$C$4)^0)&gt;0)*1)</f>
        <v>0</v>
      </c>
      <c r="F496" s="4" cm="1">
        <f t="array" ref="F496">SUM((MMULT(ISNUMBER(SEARCH(TRANSPOSE(category!$D$2:$D$10), A496))*1, ROW(category!$D$2:$D$10)^0)&gt;0)*1)</f>
        <v>1</v>
      </c>
      <c r="G496" s="4" cm="1">
        <f t="array" ref="G496">SUM((MMULT(ISNUMBER(SEARCH(TRANSPOSE(category!$E$2:$E$8), A496))*1, ROW(category!$E$2:$E$8)^0)&gt;0)*1)</f>
        <v>0</v>
      </c>
      <c r="H496" s="4" cm="1">
        <f t="array" ref="H496">SUM((MMULT(ISNUMBER(SEARCH(TRANSPOSE(category!$F$2:$F$9), A496))*1, ROW(category!$F$2:$F$9)^0)&gt;0)*1)</f>
        <v>0</v>
      </c>
    </row>
    <row r="497" spans="1:8" x14ac:dyDescent="0.45">
      <c r="A497" t="s">
        <v>1003</v>
      </c>
      <c r="B497" s="6">
        <f t="shared" si="7"/>
        <v>9</v>
      </c>
      <c r="C497" s="4" cm="1">
        <f t="array" ref="C497">SUM((MMULT(ISNUMBER(SEARCH(TRANSPOSE(category!$A$2:$A$11), A497))*1, ROW(category!$A$2:$A$11)^0)&gt;0)*1)</f>
        <v>0</v>
      </c>
      <c r="D497" s="4" cm="1">
        <f t="array" ref="D497">SUM((MMULT(ISNUMBER(SEARCH(TRANSPOSE(category!$B$2:$B$25), A497))*1, ROW(category!$B$2:$B$25)^0)&gt;0)*1)</f>
        <v>1</v>
      </c>
      <c r="E497" s="4" cm="1">
        <f t="array" ref="E497">SUM((MMULT(ISNUMBER(SEARCH(TRANSPOSE(category!$C$2:$C$4), A497))*1, ROW(category!$C$2:$C$4)^0)&gt;0)*1)</f>
        <v>0</v>
      </c>
      <c r="F497" s="4" cm="1">
        <f t="array" ref="F497">SUM((MMULT(ISNUMBER(SEARCH(TRANSPOSE(category!$D$2:$D$10), A497))*1, ROW(category!$D$2:$D$10)^0)&gt;0)*1)</f>
        <v>0</v>
      </c>
      <c r="G497" s="4" cm="1">
        <f t="array" ref="G497">SUM((MMULT(ISNUMBER(SEARCH(TRANSPOSE(category!$E$2:$E$8), A497))*1, ROW(category!$E$2:$E$8)^0)&gt;0)*1)</f>
        <v>0</v>
      </c>
      <c r="H497" s="4" cm="1">
        <f t="array" ref="H497">SUM((MMULT(ISNUMBER(SEARCH(TRANSPOSE(category!$F$2:$F$9), A497))*1, ROW(category!$F$2:$F$9)^0)&gt;0)*1)</f>
        <v>0</v>
      </c>
    </row>
    <row r="498" spans="1:8" x14ac:dyDescent="0.45">
      <c r="A498" t="s">
        <v>1005</v>
      </c>
      <c r="B498" s="6">
        <f t="shared" si="7"/>
        <v>7</v>
      </c>
      <c r="C498" s="4" cm="1">
        <f t="array" ref="C498">SUM((MMULT(ISNUMBER(SEARCH(TRANSPOSE(category!$A$2:$A$11), A498))*1, ROW(category!$A$2:$A$11)^0)&gt;0)*1)</f>
        <v>0</v>
      </c>
      <c r="D498" s="4" cm="1">
        <f t="array" ref="D498">SUM((MMULT(ISNUMBER(SEARCH(TRANSPOSE(category!$B$2:$B$25), A498))*1, ROW(category!$B$2:$B$25)^0)&gt;0)*1)</f>
        <v>1</v>
      </c>
      <c r="E498" s="4" cm="1">
        <f t="array" ref="E498">SUM((MMULT(ISNUMBER(SEARCH(TRANSPOSE(category!$C$2:$C$4), A498))*1, ROW(category!$C$2:$C$4)^0)&gt;0)*1)</f>
        <v>0</v>
      </c>
      <c r="F498" s="4" cm="1">
        <f t="array" ref="F498">SUM((MMULT(ISNUMBER(SEARCH(TRANSPOSE(category!$D$2:$D$10), A498))*1, ROW(category!$D$2:$D$10)^0)&gt;0)*1)</f>
        <v>1</v>
      </c>
      <c r="G498" s="4" cm="1">
        <f t="array" ref="G498">SUM((MMULT(ISNUMBER(SEARCH(TRANSPOSE(category!$E$2:$E$8), A498))*1, ROW(category!$E$2:$E$8)^0)&gt;0)*1)</f>
        <v>0</v>
      </c>
      <c r="H498" s="4" cm="1">
        <f t="array" ref="H498">SUM((MMULT(ISNUMBER(SEARCH(TRANSPOSE(category!$F$2:$F$9), A498))*1, ROW(category!$F$2:$F$9)^0)&gt;0)*1)</f>
        <v>0</v>
      </c>
    </row>
    <row r="499" spans="1:8" x14ac:dyDescent="0.45">
      <c r="A499" t="s">
        <v>1007</v>
      </c>
      <c r="B499" s="6">
        <f t="shared" si="7"/>
        <v>11</v>
      </c>
      <c r="C499" s="4" cm="1">
        <f t="array" ref="C499">SUM((MMULT(ISNUMBER(SEARCH(TRANSPOSE(category!$A$2:$A$11), A499))*1, ROW(category!$A$2:$A$11)^0)&gt;0)*1)</f>
        <v>0</v>
      </c>
      <c r="D499" s="4" cm="1">
        <f t="array" ref="D499">SUM((MMULT(ISNUMBER(SEARCH(TRANSPOSE(category!$B$2:$B$25), A499))*1, ROW(category!$B$2:$B$25)^0)&gt;0)*1)</f>
        <v>1</v>
      </c>
      <c r="E499" s="4" cm="1">
        <f t="array" ref="E499">SUM((MMULT(ISNUMBER(SEARCH(TRANSPOSE(category!$C$2:$C$4), A499))*1, ROW(category!$C$2:$C$4)^0)&gt;0)*1)</f>
        <v>0</v>
      </c>
      <c r="F499" s="4" cm="1">
        <f t="array" ref="F499">SUM((MMULT(ISNUMBER(SEARCH(TRANSPOSE(category!$D$2:$D$10), A499))*1, ROW(category!$D$2:$D$10)^0)&gt;0)*1)</f>
        <v>1</v>
      </c>
      <c r="G499" s="4" cm="1">
        <f t="array" ref="G499">SUM((MMULT(ISNUMBER(SEARCH(TRANSPOSE(category!$E$2:$E$8), A499))*1, ROW(category!$E$2:$E$8)^0)&gt;0)*1)</f>
        <v>0</v>
      </c>
      <c r="H499" s="4" cm="1">
        <f t="array" ref="H499">SUM((MMULT(ISNUMBER(SEARCH(TRANSPOSE(category!$F$2:$F$9), A499))*1, ROW(category!$F$2:$F$9)^0)&gt;0)*1)</f>
        <v>0</v>
      </c>
    </row>
    <row r="500" spans="1:8" x14ac:dyDescent="0.45">
      <c r="A500" t="s">
        <v>1009</v>
      </c>
      <c r="B500" s="6">
        <f t="shared" si="7"/>
        <v>17</v>
      </c>
      <c r="C500" s="4" cm="1">
        <f t="array" ref="C500">SUM((MMULT(ISNUMBER(SEARCH(TRANSPOSE(category!$A$2:$A$11), A500))*1, ROW(category!$A$2:$A$11)^0)&gt;0)*1)</f>
        <v>0</v>
      </c>
      <c r="D500" s="4" cm="1">
        <f t="array" ref="D500">SUM((MMULT(ISNUMBER(SEARCH(TRANSPOSE(category!$B$2:$B$25), A500))*1, ROW(category!$B$2:$B$25)^0)&gt;0)*1)</f>
        <v>1</v>
      </c>
      <c r="E500" s="4" cm="1">
        <f t="array" ref="E500">SUM((MMULT(ISNUMBER(SEARCH(TRANSPOSE(category!$C$2:$C$4), A500))*1, ROW(category!$C$2:$C$4)^0)&gt;0)*1)</f>
        <v>0</v>
      </c>
      <c r="F500" s="4" cm="1">
        <f t="array" ref="F500">SUM((MMULT(ISNUMBER(SEARCH(TRANSPOSE(category!$D$2:$D$10), A500))*1, ROW(category!$D$2:$D$10)^0)&gt;0)*1)</f>
        <v>0</v>
      </c>
      <c r="G500" s="4" cm="1">
        <f t="array" ref="G500">SUM((MMULT(ISNUMBER(SEARCH(TRANSPOSE(category!$E$2:$E$8), A500))*1, ROW(category!$E$2:$E$8)^0)&gt;0)*1)</f>
        <v>0</v>
      </c>
      <c r="H500" s="4" cm="1">
        <f t="array" ref="H500">SUM((MMULT(ISNUMBER(SEARCH(TRANSPOSE(category!$F$2:$F$9), A500))*1, ROW(category!$F$2:$F$9)^0)&gt;0)*1)</f>
        <v>0</v>
      </c>
    </row>
    <row r="501" spans="1:8" x14ac:dyDescent="0.45">
      <c r="A501" t="s">
        <v>1011</v>
      </c>
      <c r="B501" s="6">
        <f t="shared" si="7"/>
        <v>6</v>
      </c>
      <c r="C501" s="4" cm="1">
        <f t="array" ref="C501">SUM((MMULT(ISNUMBER(SEARCH(TRANSPOSE(category!$A$2:$A$11), A501))*1, ROW(category!$A$2:$A$11)^0)&gt;0)*1)</f>
        <v>0</v>
      </c>
      <c r="D501" s="4" cm="1">
        <f t="array" ref="D501">SUM((MMULT(ISNUMBER(SEARCH(TRANSPOSE(category!$B$2:$B$25), A501))*1, ROW(category!$B$2:$B$25)^0)&gt;0)*1)</f>
        <v>1</v>
      </c>
      <c r="E501" s="4" cm="1">
        <f t="array" ref="E501">SUM((MMULT(ISNUMBER(SEARCH(TRANSPOSE(category!$C$2:$C$4), A501))*1, ROW(category!$C$2:$C$4)^0)&gt;0)*1)</f>
        <v>0</v>
      </c>
      <c r="F501" s="4" cm="1">
        <f t="array" ref="F501">SUM((MMULT(ISNUMBER(SEARCH(TRANSPOSE(category!$D$2:$D$10), A501))*1, ROW(category!$D$2:$D$10)^0)&gt;0)*1)</f>
        <v>0</v>
      </c>
      <c r="G501" s="4" cm="1">
        <f t="array" ref="G501">SUM((MMULT(ISNUMBER(SEARCH(TRANSPOSE(category!$E$2:$E$8), A501))*1, ROW(category!$E$2:$E$8)^0)&gt;0)*1)</f>
        <v>0</v>
      </c>
      <c r="H501" s="4" cm="1">
        <f t="array" ref="H501">SUM((MMULT(ISNUMBER(SEARCH(TRANSPOSE(category!$F$2:$F$9), A501))*1, ROW(category!$F$2:$F$9)^0)&gt;0)*1)</f>
        <v>0</v>
      </c>
    </row>
    <row r="502" spans="1:8" x14ac:dyDescent="0.45">
      <c r="A502" t="s">
        <v>1013</v>
      </c>
      <c r="B502" s="6">
        <f t="shared" si="7"/>
        <v>21</v>
      </c>
      <c r="C502" s="4" cm="1">
        <f t="array" ref="C502">SUM((MMULT(ISNUMBER(SEARCH(TRANSPOSE(category!$A$2:$A$11), A502))*1, ROW(category!$A$2:$A$11)^0)&gt;0)*1)</f>
        <v>0</v>
      </c>
      <c r="D502" s="4" cm="1">
        <f t="array" ref="D502">SUM((MMULT(ISNUMBER(SEARCH(TRANSPOSE(category!$B$2:$B$25), A502))*1, ROW(category!$B$2:$B$25)^0)&gt;0)*1)</f>
        <v>1</v>
      </c>
      <c r="E502" s="4" cm="1">
        <f t="array" ref="E502">SUM((MMULT(ISNUMBER(SEARCH(TRANSPOSE(category!$C$2:$C$4), A502))*1, ROW(category!$C$2:$C$4)^0)&gt;0)*1)</f>
        <v>0</v>
      </c>
      <c r="F502" s="4" cm="1">
        <f t="array" ref="F502">SUM((MMULT(ISNUMBER(SEARCH(TRANSPOSE(category!$D$2:$D$10), A502))*1, ROW(category!$D$2:$D$10)^0)&gt;0)*1)</f>
        <v>0</v>
      </c>
      <c r="G502" s="4" cm="1">
        <f t="array" ref="G502">SUM((MMULT(ISNUMBER(SEARCH(TRANSPOSE(category!$E$2:$E$8), A502))*1, ROW(category!$E$2:$E$8)^0)&gt;0)*1)</f>
        <v>0</v>
      </c>
      <c r="H502" s="4" cm="1">
        <f t="array" ref="H502">SUM((MMULT(ISNUMBER(SEARCH(TRANSPOSE(category!$F$2:$F$9), A502))*1, ROW(category!$F$2:$F$9)^0)&gt;0)*1)</f>
        <v>0</v>
      </c>
    </row>
    <row r="503" spans="1:8" x14ac:dyDescent="0.45">
      <c r="A503" t="s">
        <v>1015</v>
      </c>
      <c r="B503" s="6">
        <f t="shared" si="7"/>
        <v>17</v>
      </c>
      <c r="C503" s="4" cm="1">
        <f t="array" ref="C503">SUM((MMULT(ISNUMBER(SEARCH(TRANSPOSE(category!$A$2:$A$11), A503))*1, ROW(category!$A$2:$A$11)^0)&gt;0)*1)</f>
        <v>1</v>
      </c>
      <c r="D503" s="4" cm="1">
        <f t="array" ref="D503">SUM((MMULT(ISNUMBER(SEARCH(TRANSPOSE(category!$B$2:$B$25), A503))*1, ROW(category!$B$2:$B$25)^0)&gt;0)*1)</f>
        <v>0</v>
      </c>
      <c r="E503" s="4" cm="1">
        <f t="array" ref="E503">SUM((MMULT(ISNUMBER(SEARCH(TRANSPOSE(category!$C$2:$C$4), A503))*1, ROW(category!$C$2:$C$4)^0)&gt;0)*1)</f>
        <v>0</v>
      </c>
      <c r="F503" s="4" cm="1">
        <f t="array" ref="F503">SUM((MMULT(ISNUMBER(SEARCH(TRANSPOSE(category!$D$2:$D$10), A503))*1, ROW(category!$D$2:$D$10)^0)&gt;0)*1)</f>
        <v>0</v>
      </c>
      <c r="G503" s="4" cm="1">
        <f t="array" ref="G503">SUM((MMULT(ISNUMBER(SEARCH(TRANSPOSE(category!$E$2:$E$8), A503))*1, ROW(category!$E$2:$E$8)^0)&gt;0)*1)</f>
        <v>0</v>
      </c>
      <c r="H503" s="4" cm="1">
        <f t="array" ref="H503">SUM((MMULT(ISNUMBER(SEARCH(TRANSPOSE(category!$F$2:$F$9), A503))*1, ROW(category!$F$2:$F$9)^0)&gt;0)*1)</f>
        <v>0</v>
      </c>
    </row>
    <row r="504" spans="1:8" x14ac:dyDescent="0.45">
      <c r="A504" t="s">
        <v>1017</v>
      </c>
      <c r="B504" s="6">
        <f t="shared" si="7"/>
        <v>5</v>
      </c>
      <c r="C504" s="4" cm="1">
        <f t="array" ref="C504">SUM((MMULT(ISNUMBER(SEARCH(TRANSPOSE(category!$A$2:$A$11), A504))*1, ROW(category!$A$2:$A$11)^0)&gt;0)*1)</f>
        <v>0</v>
      </c>
      <c r="D504" s="4" cm="1">
        <f t="array" ref="D504">SUM((MMULT(ISNUMBER(SEARCH(TRANSPOSE(category!$B$2:$B$25), A504))*1, ROW(category!$B$2:$B$25)^0)&gt;0)*1)</f>
        <v>1</v>
      </c>
      <c r="E504" s="4" cm="1">
        <f t="array" ref="E504">SUM((MMULT(ISNUMBER(SEARCH(TRANSPOSE(category!$C$2:$C$4), A504))*1, ROW(category!$C$2:$C$4)^0)&gt;0)*1)</f>
        <v>0</v>
      </c>
      <c r="F504" s="4" cm="1">
        <f t="array" ref="F504">SUM((MMULT(ISNUMBER(SEARCH(TRANSPOSE(category!$D$2:$D$10), A504))*1, ROW(category!$D$2:$D$10)^0)&gt;0)*1)</f>
        <v>0</v>
      </c>
      <c r="G504" s="4" cm="1">
        <f t="array" ref="G504">SUM((MMULT(ISNUMBER(SEARCH(TRANSPOSE(category!$E$2:$E$8), A504))*1, ROW(category!$E$2:$E$8)^0)&gt;0)*1)</f>
        <v>0</v>
      </c>
      <c r="H504" s="4" cm="1">
        <f t="array" ref="H504">SUM((MMULT(ISNUMBER(SEARCH(TRANSPOSE(category!$F$2:$F$9), A504))*1, ROW(category!$F$2:$F$9)^0)&gt;0)*1)</f>
        <v>0</v>
      </c>
    </row>
    <row r="505" spans="1:8" x14ac:dyDescent="0.45">
      <c r="A505" t="s">
        <v>1019</v>
      </c>
      <c r="B505" s="6">
        <f t="shared" si="7"/>
        <v>5</v>
      </c>
      <c r="C505" s="4" cm="1">
        <f t="array" ref="C505">SUM((MMULT(ISNUMBER(SEARCH(TRANSPOSE(category!$A$2:$A$11), A505))*1, ROW(category!$A$2:$A$11)^0)&gt;0)*1)</f>
        <v>0</v>
      </c>
      <c r="D505" s="4" cm="1">
        <f t="array" ref="D505">SUM((MMULT(ISNUMBER(SEARCH(TRANSPOSE(category!$B$2:$B$25), A505))*1, ROW(category!$B$2:$B$25)^0)&gt;0)*1)</f>
        <v>0</v>
      </c>
      <c r="E505" s="4" cm="1">
        <f t="array" ref="E505">SUM((MMULT(ISNUMBER(SEARCH(TRANSPOSE(category!$C$2:$C$4), A505))*1, ROW(category!$C$2:$C$4)^0)&gt;0)*1)</f>
        <v>0</v>
      </c>
      <c r="F505" s="4" cm="1">
        <f t="array" ref="F505">SUM((MMULT(ISNUMBER(SEARCH(TRANSPOSE(category!$D$2:$D$10), A505))*1, ROW(category!$D$2:$D$10)^0)&gt;0)*1)</f>
        <v>0</v>
      </c>
      <c r="G505" s="4" cm="1">
        <f t="array" ref="G505">SUM((MMULT(ISNUMBER(SEARCH(TRANSPOSE(category!$E$2:$E$8), A505))*1, ROW(category!$E$2:$E$8)^0)&gt;0)*1)</f>
        <v>0</v>
      </c>
      <c r="H505" s="4" cm="1">
        <f t="array" ref="H505">SUM((MMULT(ISNUMBER(SEARCH(TRANSPOSE(category!$F$2:$F$9), A505))*1, ROW(category!$F$2:$F$9)^0)&gt;0)*1)</f>
        <v>0</v>
      </c>
    </row>
    <row r="506" spans="1:8" x14ac:dyDescent="0.45">
      <c r="A506" t="s">
        <v>1021</v>
      </c>
      <c r="B506" s="6">
        <f t="shared" si="7"/>
        <v>4</v>
      </c>
      <c r="C506" s="4" cm="1">
        <f t="array" ref="C506">SUM((MMULT(ISNUMBER(SEARCH(TRANSPOSE(category!$A$2:$A$11), A506))*1, ROW(category!$A$2:$A$11)^0)&gt;0)*1)</f>
        <v>0</v>
      </c>
      <c r="D506" s="4" cm="1">
        <f t="array" ref="D506">SUM((MMULT(ISNUMBER(SEARCH(TRANSPOSE(category!$B$2:$B$25), A506))*1, ROW(category!$B$2:$B$25)^0)&gt;0)*1)</f>
        <v>1</v>
      </c>
      <c r="E506" s="4" cm="1">
        <f t="array" ref="E506">SUM((MMULT(ISNUMBER(SEARCH(TRANSPOSE(category!$C$2:$C$4), A506))*1, ROW(category!$C$2:$C$4)^0)&gt;0)*1)</f>
        <v>0</v>
      </c>
      <c r="F506" s="4" cm="1">
        <f t="array" ref="F506">SUM((MMULT(ISNUMBER(SEARCH(TRANSPOSE(category!$D$2:$D$10), A506))*1, ROW(category!$D$2:$D$10)^0)&gt;0)*1)</f>
        <v>0</v>
      </c>
      <c r="G506" s="4" cm="1">
        <f t="array" ref="G506">SUM((MMULT(ISNUMBER(SEARCH(TRANSPOSE(category!$E$2:$E$8), A506))*1, ROW(category!$E$2:$E$8)^0)&gt;0)*1)</f>
        <v>0</v>
      </c>
      <c r="H506" s="4" cm="1">
        <f t="array" ref="H506">SUM((MMULT(ISNUMBER(SEARCH(TRANSPOSE(category!$F$2:$F$9), A506))*1, ROW(category!$F$2:$F$9)^0)&gt;0)*1)</f>
        <v>0</v>
      </c>
    </row>
    <row r="507" spans="1:8" x14ac:dyDescent="0.45">
      <c r="A507" t="s">
        <v>1023</v>
      </c>
      <c r="B507" s="6">
        <f t="shared" si="7"/>
        <v>28</v>
      </c>
      <c r="C507" s="4" cm="1">
        <f t="array" ref="C507">SUM((MMULT(ISNUMBER(SEARCH(TRANSPOSE(category!$A$2:$A$11), A507))*1, ROW(category!$A$2:$A$11)^0)&gt;0)*1)</f>
        <v>0</v>
      </c>
      <c r="D507" s="4" cm="1">
        <f t="array" ref="D507">SUM((MMULT(ISNUMBER(SEARCH(TRANSPOSE(category!$B$2:$B$25), A507))*1, ROW(category!$B$2:$B$25)^0)&gt;0)*1)</f>
        <v>0</v>
      </c>
      <c r="E507" s="4" cm="1">
        <f t="array" ref="E507">SUM((MMULT(ISNUMBER(SEARCH(TRANSPOSE(category!$C$2:$C$4), A507))*1, ROW(category!$C$2:$C$4)^0)&gt;0)*1)</f>
        <v>0</v>
      </c>
      <c r="F507" s="4" cm="1">
        <f t="array" ref="F507">SUM((MMULT(ISNUMBER(SEARCH(TRANSPOSE(category!$D$2:$D$10), A507))*1, ROW(category!$D$2:$D$10)^0)&gt;0)*1)</f>
        <v>0</v>
      </c>
      <c r="G507" s="4" cm="1">
        <f t="array" ref="G507">SUM((MMULT(ISNUMBER(SEARCH(TRANSPOSE(category!$E$2:$E$8), A507))*1, ROW(category!$E$2:$E$8)^0)&gt;0)*1)</f>
        <v>0</v>
      </c>
      <c r="H507" s="4" cm="1">
        <f t="array" ref="H507">SUM((MMULT(ISNUMBER(SEARCH(TRANSPOSE(category!$F$2:$F$9), A507))*1, ROW(category!$F$2:$F$9)^0)&gt;0)*1)</f>
        <v>0</v>
      </c>
    </row>
    <row r="508" spans="1:8" x14ac:dyDescent="0.45">
      <c r="A508" t="s">
        <v>1025</v>
      </c>
      <c r="B508" s="6">
        <f t="shared" si="7"/>
        <v>11</v>
      </c>
      <c r="C508" s="4" cm="1">
        <f t="array" ref="C508">SUM((MMULT(ISNUMBER(SEARCH(TRANSPOSE(category!$A$2:$A$11), A508))*1, ROW(category!$A$2:$A$11)^0)&gt;0)*1)</f>
        <v>0</v>
      </c>
      <c r="D508" s="4" cm="1">
        <f t="array" ref="D508">SUM((MMULT(ISNUMBER(SEARCH(TRANSPOSE(category!$B$2:$B$25), A508))*1, ROW(category!$B$2:$B$25)^0)&gt;0)*1)</f>
        <v>0</v>
      </c>
      <c r="E508" s="4" cm="1">
        <f t="array" ref="E508">SUM((MMULT(ISNUMBER(SEARCH(TRANSPOSE(category!$C$2:$C$4), A508))*1, ROW(category!$C$2:$C$4)^0)&gt;0)*1)</f>
        <v>0</v>
      </c>
      <c r="F508" s="4" cm="1">
        <f t="array" ref="F508">SUM((MMULT(ISNUMBER(SEARCH(TRANSPOSE(category!$D$2:$D$10), A508))*1, ROW(category!$D$2:$D$10)^0)&gt;0)*1)</f>
        <v>0</v>
      </c>
      <c r="G508" s="4" cm="1">
        <f t="array" ref="G508">SUM((MMULT(ISNUMBER(SEARCH(TRANSPOSE(category!$E$2:$E$8), A508))*1, ROW(category!$E$2:$E$8)^0)&gt;0)*1)</f>
        <v>0</v>
      </c>
      <c r="H508" s="4" cm="1">
        <f t="array" ref="H508">SUM((MMULT(ISNUMBER(SEARCH(TRANSPOSE(category!$F$2:$F$9), A508))*1, ROW(category!$F$2:$F$9)^0)&gt;0)*1)</f>
        <v>0</v>
      </c>
    </row>
    <row r="509" spans="1:8" x14ac:dyDescent="0.45">
      <c r="A509" t="s">
        <v>1027</v>
      </c>
      <c r="B509" s="6">
        <f t="shared" si="7"/>
        <v>7</v>
      </c>
      <c r="C509" s="4" cm="1">
        <f t="array" ref="C509">SUM((MMULT(ISNUMBER(SEARCH(TRANSPOSE(category!$A$2:$A$11), A509))*1, ROW(category!$A$2:$A$11)^0)&gt;0)*1)</f>
        <v>0</v>
      </c>
      <c r="D509" s="4" cm="1">
        <f t="array" ref="D509">SUM((MMULT(ISNUMBER(SEARCH(TRANSPOSE(category!$B$2:$B$25), A509))*1, ROW(category!$B$2:$B$25)^0)&gt;0)*1)</f>
        <v>1</v>
      </c>
      <c r="E509" s="4" cm="1">
        <f t="array" ref="E509">SUM((MMULT(ISNUMBER(SEARCH(TRANSPOSE(category!$C$2:$C$4), A509))*1, ROW(category!$C$2:$C$4)^0)&gt;0)*1)</f>
        <v>0</v>
      </c>
      <c r="F509" s="4" cm="1">
        <f t="array" ref="F509">SUM((MMULT(ISNUMBER(SEARCH(TRANSPOSE(category!$D$2:$D$10), A509))*1, ROW(category!$D$2:$D$10)^0)&gt;0)*1)</f>
        <v>0</v>
      </c>
      <c r="G509" s="4" cm="1">
        <f t="array" ref="G509">SUM((MMULT(ISNUMBER(SEARCH(TRANSPOSE(category!$E$2:$E$8), A509))*1, ROW(category!$E$2:$E$8)^0)&gt;0)*1)</f>
        <v>0</v>
      </c>
      <c r="H509" s="4" cm="1">
        <f t="array" ref="H509">SUM((MMULT(ISNUMBER(SEARCH(TRANSPOSE(category!$F$2:$F$9), A509))*1, ROW(category!$F$2:$F$9)^0)&gt;0)*1)</f>
        <v>0</v>
      </c>
    </row>
    <row r="510" spans="1:8" x14ac:dyDescent="0.45">
      <c r="A510" t="s">
        <v>1029</v>
      </c>
      <c r="B510" s="6">
        <f t="shared" si="7"/>
        <v>4</v>
      </c>
      <c r="C510" s="4" cm="1">
        <f t="array" ref="C510">SUM((MMULT(ISNUMBER(SEARCH(TRANSPOSE(category!$A$2:$A$11), A510))*1, ROW(category!$A$2:$A$11)^0)&gt;0)*1)</f>
        <v>0</v>
      </c>
      <c r="D510" s="4" cm="1">
        <f t="array" ref="D510">SUM((MMULT(ISNUMBER(SEARCH(TRANSPOSE(category!$B$2:$B$25), A510))*1, ROW(category!$B$2:$B$25)^0)&gt;0)*1)</f>
        <v>1</v>
      </c>
      <c r="E510" s="4" cm="1">
        <f t="array" ref="E510">SUM((MMULT(ISNUMBER(SEARCH(TRANSPOSE(category!$C$2:$C$4), A510))*1, ROW(category!$C$2:$C$4)^0)&gt;0)*1)</f>
        <v>0</v>
      </c>
      <c r="F510" s="4" cm="1">
        <f t="array" ref="F510">SUM((MMULT(ISNUMBER(SEARCH(TRANSPOSE(category!$D$2:$D$10), A510))*1, ROW(category!$D$2:$D$10)^0)&gt;0)*1)</f>
        <v>0</v>
      </c>
      <c r="G510" s="4" cm="1">
        <f t="array" ref="G510">SUM((MMULT(ISNUMBER(SEARCH(TRANSPOSE(category!$E$2:$E$8), A510))*1, ROW(category!$E$2:$E$8)^0)&gt;0)*1)</f>
        <v>0</v>
      </c>
      <c r="H510" s="4" cm="1">
        <f t="array" ref="H510">SUM((MMULT(ISNUMBER(SEARCH(TRANSPOSE(category!$F$2:$F$9), A510))*1, ROW(category!$F$2:$F$9)^0)&gt;0)*1)</f>
        <v>0</v>
      </c>
    </row>
    <row r="511" spans="1:8" x14ac:dyDescent="0.45">
      <c r="A511" t="s">
        <v>1030</v>
      </c>
      <c r="B511" s="6">
        <f t="shared" si="7"/>
        <v>23</v>
      </c>
      <c r="C511" s="4" cm="1">
        <f t="array" ref="C511">SUM((MMULT(ISNUMBER(SEARCH(TRANSPOSE(category!$A$2:$A$11), A511))*1, ROW(category!$A$2:$A$11)^0)&gt;0)*1)</f>
        <v>0</v>
      </c>
      <c r="D511" s="4" cm="1">
        <f t="array" ref="D511">SUM((MMULT(ISNUMBER(SEARCH(TRANSPOSE(category!$B$2:$B$25), A511))*1, ROW(category!$B$2:$B$25)^0)&gt;0)*1)</f>
        <v>0</v>
      </c>
      <c r="E511" s="4" cm="1">
        <f t="array" ref="E511">SUM((MMULT(ISNUMBER(SEARCH(TRANSPOSE(category!$C$2:$C$4), A511))*1, ROW(category!$C$2:$C$4)^0)&gt;0)*1)</f>
        <v>0</v>
      </c>
      <c r="F511" s="4" cm="1">
        <f t="array" ref="F511">SUM((MMULT(ISNUMBER(SEARCH(TRANSPOSE(category!$D$2:$D$10), A511))*1, ROW(category!$D$2:$D$10)^0)&gt;0)*1)</f>
        <v>0</v>
      </c>
      <c r="G511" s="4" cm="1">
        <f t="array" ref="G511">SUM((MMULT(ISNUMBER(SEARCH(TRANSPOSE(category!$E$2:$E$8), A511))*1, ROW(category!$E$2:$E$8)^0)&gt;0)*1)</f>
        <v>0</v>
      </c>
      <c r="H511" s="4" cm="1">
        <f t="array" ref="H511">SUM((MMULT(ISNUMBER(SEARCH(TRANSPOSE(category!$F$2:$F$9), A511))*1, ROW(category!$F$2:$F$9)^0)&gt;0)*1)</f>
        <v>0</v>
      </c>
    </row>
    <row r="512" spans="1:8" x14ac:dyDescent="0.45">
      <c r="A512" t="s">
        <v>1032</v>
      </c>
      <c r="B512" s="6">
        <f t="shared" si="7"/>
        <v>57</v>
      </c>
      <c r="C512" s="4" cm="1">
        <f t="array" ref="C512">SUM((MMULT(ISNUMBER(SEARCH(TRANSPOSE(category!$A$2:$A$11), A512))*1, ROW(category!$A$2:$A$11)^0)&gt;0)*1)</f>
        <v>1</v>
      </c>
      <c r="D512" s="4" cm="1">
        <f t="array" ref="D512">SUM((MMULT(ISNUMBER(SEARCH(TRANSPOSE(category!$B$2:$B$25), A512))*1, ROW(category!$B$2:$B$25)^0)&gt;0)*1)</f>
        <v>1</v>
      </c>
      <c r="E512" s="4" cm="1">
        <f t="array" ref="E512">SUM((MMULT(ISNUMBER(SEARCH(TRANSPOSE(category!$C$2:$C$4), A512))*1, ROW(category!$C$2:$C$4)^0)&gt;0)*1)</f>
        <v>0</v>
      </c>
      <c r="F512" s="4" cm="1">
        <f t="array" ref="F512">SUM((MMULT(ISNUMBER(SEARCH(TRANSPOSE(category!$D$2:$D$10), A512))*1, ROW(category!$D$2:$D$10)^0)&gt;0)*1)</f>
        <v>1</v>
      </c>
      <c r="G512" s="4" cm="1">
        <f t="array" ref="G512">SUM((MMULT(ISNUMBER(SEARCH(TRANSPOSE(category!$E$2:$E$8), A512))*1, ROW(category!$E$2:$E$8)^0)&gt;0)*1)</f>
        <v>0</v>
      </c>
      <c r="H512" s="4" cm="1">
        <f t="array" ref="H512">SUM((MMULT(ISNUMBER(SEARCH(TRANSPOSE(category!$F$2:$F$9), A512))*1, ROW(category!$F$2:$F$9)^0)&gt;0)*1)</f>
        <v>0</v>
      </c>
    </row>
    <row r="513" spans="1:8" x14ac:dyDescent="0.45">
      <c r="A513" t="s">
        <v>1033</v>
      </c>
      <c r="B513" s="6">
        <f t="shared" si="7"/>
        <v>218</v>
      </c>
      <c r="C513" s="4" cm="1">
        <f t="array" ref="C513">SUM((MMULT(ISNUMBER(SEARCH(TRANSPOSE(category!$A$2:$A$11), A513))*1, ROW(category!$A$2:$A$11)^0)&gt;0)*1)</f>
        <v>1</v>
      </c>
      <c r="D513" s="4" cm="1">
        <f t="array" ref="D513">SUM((MMULT(ISNUMBER(SEARCH(TRANSPOSE(category!$B$2:$B$25), A513))*1, ROW(category!$B$2:$B$25)^0)&gt;0)*1)</f>
        <v>1</v>
      </c>
      <c r="E513" s="4" cm="1">
        <f t="array" ref="E513">SUM((MMULT(ISNUMBER(SEARCH(TRANSPOSE(category!$C$2:$C$4), A513))*1, ROW(category!$C$2:$C$4)^0)&gt;0)*1)</f>
        <v>0</v>
      </c>
      <c r="F513" s="4" cm="1">
        <f t="array" ref="F513">SUM((MMULT(ISNUMBER(SEARCH(TRANSPOSE(category!$D$2:$D$10), A513))*1, ROW(category!$D$2:$D$10)^0)&gt;0)*1)</f>
        <v>1</v>
      </c>
      <c r="G513" s="4" cm="1">
        <f t="array" ref="G513">SUM((MMULT(ISNUMBER(SEARCH(TRANSPOSE(category!$E$2:$E$8), A513))*1, ROW(category!$E$2:$E$8)^0)&gt;0)*1)</f>
        <v>0</v>
      </c>
      <c r="H513" s="4" cm="1">
        <f t="array" ref="H513">SUM((MMULT(ISNUMBER(SEARCH(TRANSPOSE(category!$F$2:$F$9), A513))*1, ROW(category!$F$2:$F$9)^0)&gt;0)*1)</f>
        <v>0</v>
      </c>
    </row>
    <row r="514" spans="1:8" x14ac:dyDescent="0.45">
      <c r="A514" t="s">
        <v>1035</v>
      </c>
      <c r="B514" s="6">
        <f t="shared" si="7"/>
        <v>87</v>
      </c>
      <c r="C514" s="4" cm="1">
        <f t="array" ref="C514">SUM((MMULT(ISNUMBER(SEARCH(TRANSPOSE(category!$A$2:$A$11), A514))*1, ROW(category!$A$2:$A$11)^0)&gt;0)*1)</f>
        <v>0</v>
      </c>
      <c r="D514" s="4" cm="1">
        <f t="array" ref="D514">SUM((MMULT(ISNUMBER(SEARCH(TRANSPOSE(category!$B$2:$B$25), A514))*1, ROW(category!$B$2:$B$25)^0)&gt;0)*1)</f>
        <v>1</v>
      </c>
      <c r="E514" s="4" cm="1">
        <f t="array" ref="E514">SUM((MMULT(ISNUMBER(SEARCH(TRANSPOSE(category!$C$2:$C$4), A514))*1, ROW(category!$C$2:$C$4)^0)&gt;0)*1)</f>
        <v>0</v>
      </c>
      <c r="F514" s="4" cm="1">
        <f t="array" ref="F514">SUM((MMULT(ISNUMBER(SEARCH(TRANSPOSE(category!$D$2:$D$10), A514))*1, ROW(category!$D$2:$D$10)^0)&gt;0)*1)</f>
        <v>0</v>
      </c>
      <c r="G514" s="4" cm="1">
        <f t="array" ref="G514">SUM((MMULT(ISNUMBER(SEARCH(TRANSPOSE(category!$E$2:$E$8), A514))*1, ROW(category!$E$2:$E$8)^0)&gt;0)*1)</f>
        <v>1</v>
      </c>
      <c r="H514" s="4" cm="1">
        <f t="array" ref="H514">SUM((MMULT(ISNUMBER(SEARCH(TRANSPOSE(category!$F$2:$F$9), A514))*1, ROW(category!$F$2:$F$9)^0)&gt;0)*1)</f>
        <v>0</v>
      </c>
    </row>
    <row r="515" spans="1:8" x14ac:dyDescent="0.45">
      <c r="A515" t="s">
        <v>1037</v>
      </c>
      <c r="B515" s="6">
        <f t="shared" ref="B515:B531" si="8">LEN(A515)-LEN(SUBSTITUTE(A515," ",""))+1</f>
        <v>43</v>
      </c>
      <c r="C515" s="4" cm="1">
        <f t="array" ref="C515">SUM((MMULT(ISNUMBER(SEARCH(TRANSPOSE(category!$A$2:$A$11), A515))*1, ROW(category!$A$2:$A$11)^0)&gt;0)*1)</f>
        <v>0</v>
      </c>
      <c r="D515" s="4" cm="1">
        <f t="array" ref="D515">SUM((MMULT(ISNUMBER(SEARCH(TRANSPOSE(category!$B$2:$B$25), A515))*1, ROW(category!$B$2:$B$25)^0)&gt;0)*1)</f>
        <v>1</v>
      </c>
      <c r="E515" s="4" cm="1">
        <f t="array" ref="E515">SUM((MMULT(ISNUMBER(SEARCH(TRANSPOSE(category!$C$2:$C$4), A515))*1, ROW(category!$C$2:$C$4)^0)&gt;0)*1)</f>
        <v>0</v>
      </c>
      <c r="F515" s="4" cm="1">
        <f t="array" ref="F515">SUM((MMULT(ISNUMBER(SEARCH(TRANSPOSE(category!$D$2:$D$10), A515))*1, ROW(category!$D$2:$D$10)^0)&gt;0)*1)</f>
        <v>0</v>
      </c>
      <c r="G515" s="4" cm="1">
        <f t="array" ref="G515">SUM((MMULT(ISNUMBER(SEARCH(TRANSPOSE(category!$E$2:$E$8), A515))*1, ROW(category!$E$2:$E$8)^0)&gt;0)*1)</f>
        <v>0</v>
      </c>
      <c r="H515" s="4" cm="1">
        <f t="array" ref="H515">SUM((MMULT(ISNUMBER(SEARCH(TRANSPOSE(category!$F$2:$F$9), A515))*1, ROW(category!$F$2:$F$9)^0)&gt;0)*1)</f>
        <v>0</v>
      </c>
    </row>
    <row r="516" spans="1:8" x14ac:dyDescent="0.45">
      <c r="A516" t="s">
        <v>1039</v>
      </c>
      <c r="B516" s="6">
        <f t="shared" si="8"/>
        <v>40</v>
      </c>
      <c r="C516" s="4" cm="1">
        <f t="array" ref="C516">SUM((MMULT(ISNUMBER(SEARCH(TRANSPOSE(category!$A$2:$A$11), A516))*1, ROW(category!$A$2:$A$11)^0)&gt;0)*1)</f>
        <v>0</v>
      </c>
      <c r="D516" s="4" cm="1">
        <f t="array" ref="D516">SUM((MMULT(ISNUMBER(SEARCH(TRANSPOSE(category!$B$2:$B$25), A516))*1, ROW(category!$B$2:$B$25)^0)&gt;0)*1)</f>
        <v>1</v>
      </c>
      <c r="E516" s="4" cm="1">
        <f t="array" ref="E516">SUM((MMULT(ISNUMBER(SEARCH(TRANSPOSE(category!$C$2:$C$4), A516))*1, ROW(category!$C$2:$C$4)^0)&gt;0)*1)</f>
        <v>0</v>
      </c>
      <c r="F516" s="4" cm="1">
        <f t="array" ref="F516">SUM((MMULT(ISNUMBER(SEARCH(TRANSPOSE(category!$D$2:$D$10), A516))*1, ROW(category!$D$2:$D$10)^0)&gt;0)*1)</f>
        <v>1</v>
      </c>
      <c r="G516" s="4" cm="1">
        <f t="array" ref="G516">SUM((MMULT(ISNUMBER(SEARCH(TRANSPOSE(category!$E$2:$E$8), A516))*1, ROW(category!$E$2:$E$8)^0)&gt;0)*1)</f>
        <v>0</v>
      </c>
      <c r="H516" s="4" cm="1">
        <f t="array" ref="H516">SUM((MMULT(ISNUMBER(SEARCH(TRANSPOSE(category!$F$2:$F$9), A516))*1, ROW(category!$F$2:$F$9)^0)&gt;0)*1)</f>
        <v>0</v>
      </c>
    </row>
    <row r="517" spans="1:8" x14ac:dyDescent="0.45">
      <c r="A517" t="s">
        <v>1041</v>
      </c>
      <c r="B517" s="6">
        <f t="shared" si="8"/>
        <v>42</v>
      </c>
      <c r="C517" s="4" cm="1">
        <f t="array" ref="C517">SUM((MMULT(ISNUMBER(SEARCH(TRANSPOSE(category!$A$2:$A$11), A517))*1, ROW(category!$A$2:$A$11)^0)&gt;0)*1)</f>
        <v>0</v>
      </c>
      <c r="D517" s="4" cm="1">
        <f t="array" ref="D517">SUM((MMULT(ISNUMBER(SEARCH(TRANSPOSE(category!$B$2:$B$25), A517))*1, ROW(category!$B$2:$B$25)^0)&gt;0)*1)</f>
        <v>1</v>
      </c>
      <c r="E517" s="4" cm="1">
        <f t="array" ref="E517">SUM((MMULT(ISNUMBER(SEARCH(TRANSPOSE(category!$C$2:$C$4), A517))*1, ROW(category!$C$2:$C$4)^0)&gt;0)*1)</f>
        <v>0</v>
      </c>
      <c r="F517" s="4" cm="1">
        <f t="array" ref="F517">SUM((MMULT(ISNUMBER(SEARCH(TRANSPOSE(category!$D$2:$D$10), A517))*1, ROW(category!$D$2:$D$10)^0)&gt;0)*1)</f>
        <v>1</v>
      </c>
      <c r="G517" s="4" cm="1">
        <f t="array" ref="G517">SUM((MMULT(ISNUMBER(SEARCH(TRANSPOSE(category!$E$2:$E$8), A517))*1, ROW(category!$E$2:$E$8)^0)&gt;0)*1)</f>
        <v>0</v>
      </c>
      <c r="H517" s="4" cm="1">
        <f t="array" ref="H517">SUM((MMULT(ISNUMBER(SEARCH(TRANSPOSE(category!$F$2:$F$9), A517))*1, ROW(category!$F$2:$F$9)^0)&gt;0)*1)</f>
        <v>0</v>
      </c>
    </row>
    <row r="518" spans="1:8" x14ac:dyDescent="0.45">
      <c r="A518" t="s">
        <v>1043</v>
      </c>
      <c r="B518" s="6">
        <f t="shared" si="8"/>
        <v>33</v>
      </c>
      <c r="C518" s="4" cm="1">
        <f t="array" ref="C518">SUM((MMULT(ISNUMBER(SEARCH(TRANSPOSE(category!$A$2:$A$11), A518))*1, ROW(category!$A$2:$A$11)^0)&gt;0)*1)</f>
        <v>1</v>
      </c>
      <c r="D518" s="4" cm="1">
        <f t="array" ref="D518">SUM((MMULT(ISNUMBER(SEARCH(TRANSPOSE(category!$B$2:$B$25), A518))*1, ROW(category!$B$2:$B$25)^0)&gt;0)*1)</f>
        <v>1</v>
      </c>
      <c r="E518" s="4" cm="1">
        <f t="array" ref="E518">SUM((MMULT(ISNUMBER(SEARCH(TRANSPOSE(category!$C$2:$C$4), A518))*1, ROW(category!$C$2:$C$4)^0)&gt;0)*1)</f>
        <v>0</v>
      </c>
      <c r="F518" s="4" cm="1">
        <f t="array" ref="F518">SUM((MMULT(ISNUMBER(SEARCH(TRANSPOSE(category!$D$2:$D$10), A518))*1, ROW(category!$D$2:$D$10)^0)&gt;0)*1)</f>
        <v>1</v>
      </c>
      <c r="G518" s="4" cm="1">
        <f t="array" ref="G518">SUM((MMULT(ISNUMBER(SEARCH(TRANSPOSE(category!$E$2:$E$8), A518))*1, ROW(category!$E$2:$E$8)^0)&gt;0)*1)</f>
        <v>0</v>
      </c>
      <c r="H518" s="4" cm="1">
        <f t="array" ref="H518">SUM((MMULT(ISNUMBER(SEARCH(TRANSPOSE(category!$F$2:$F$9), A518))*1, ROW(category!$F$2:$F$9)^0)&gt;0)*1)</f>
        <v>0</v>
      </c>
    </row>
    <row r="519" spans="1:8" x14ac:dyDescent="0.45">
      <c r="A519" t="s">
        <v>1045</v>
      </c>
      <c r="B519" s="6">
        <f t="shared" si="8"/>
        <v>10</v>
      </c>
      <c r="C519" s="4" cm="1">
        <f t="array" ref="C519">SUM((MMULT(ISNUMBER(SEARCH(TRANSPOSE(category!$A$2:$A$11), A519))*1, ROW(category!$A$2:$A$11)^0)&gt;0)*1)</f>
        <v>1</v>
      </c>
      <c r="D519" s="4" cm="1">
        <f t="array" ref="D519">SUM((MMULT(ISNUMBER(SEARCH(TRANSPOSE(category!$B$2:$B$25), A519))*1, ROW(category!$B$2:$B$25)^0)&gt;0)*1)</f>
        <v>1</v>
      </c>
      <c r="E519" s="4" cm="1">
        <f t="array" ref="E519">SUM((MMULT(ISNUMBER(SEARCH(TRANSPOSE(category!$C$2:$C$4), A519))*1, ROW(category!$C$2:$C$4)^0)&gt;0)*1)</f>
        <v>0</v>
      </c>
      <c r="F519" s="4" cm="1">
        <f t="array" ref="F519">SUM((MMULT(ISNUMBER(SEARCH(TRANSPOSE(category!$D$2:$D$10), A519))*1, ROW(category!$D$2:$D$10)^0)&gt;0)*1)</f>
        <v>0</v>
      </c>
      <c r="G519" s="4" cm="1">
        <f t="array" ref="G519">SUM((MMULT(ISNUMBER(SEARCH(TRANSPOSE(category!$E$2:$E$8), A519))*1, ROW(category!$E$2:$E$8)^0)&gt;0)*1)</f>
        <v>1</v>
      </c>
      <c r="H519" s="4" cm="1">
        <f t="array" ref="H519">SUM((MMULT(ISNUMBER(SEARCH(TRANSPOSE(category!$F$2:$F$9), A519))*1, ROW(category!$F$2:$F$9)^0)&gt;0)*1)</f>
        <v>0</v>
      </c>
    </row>
    <row r="520" spans="1:8" x14ac:dyDescent="0.45">
      <c r="A520" t="s">
        <v>1047</v>
      </c>
      <c r="B520" s="6">
        <f t="shared" si="8"/>
        <v>21</v>
      </c>
      <c r="C520" s="4" cm="1">
        <f t="array" ref="C520">SUM((MMULT(ISNUMBER(SEARCH(TRANSPOSE(category!$A$2:$A$11), A520))*1, ROW(category!$A$2:$A$11)^0)&gt;0)*1)</f>
        <v>0</v>
      </c>
      <c r="D520" s="4" cm="1">
        <f t="array" ref="D520">SUM((MMULT(ISNUMBER(SEARCH(TRANSPOSE(category!$B$2:$B$25), A520))*1, ROW(category!$B$2:$B$25)^0)&gt;0)*1)</f>
        <v>1</v>
      </c>
      <c r="E520" s="4" cm="1">
        <f t="array" ref="E520">SUM((MMULT(ISNUMBER(SEARCH(TRANSPOSE(category!$C$2:$C$4), A520))*1, ROW(category!$C$2:$C$4)^0)&gt;0)*1)</f>
        <v>0</v>
      </c>
      <c r="F520" s="4" cm="1">
        <f t="array" ref="F520">SUM((MMULT(ISNUMBER(SEARCH(TRANSPOSE(category!$D$2:$D$10), A520))*1, ROW(category!$D$2:$D$10)^0)&gt;0)*1)</f>
        <v>0</v>
      </c>
      <c r="G520" s="4" cm="1">
        <f t="array" ref="G520">SUM((MMULT(ISNUMBER(SEARCH(TRANSPOSE(category!$E$2:$E$8), A520))*1, ROW(category!$E$2:$E$8)^0)&gt;0)*1)</f>
        <v>0</v>
      </c>
      <c r="H520" s="4" cm="1">
        <f t="array" ref="H520">SUM((MMULT(ISNUMBER(SEARCH(TRANSPOSE(category!$F$2:$F$9), A520))*1, ROW(category!$F$2:$F$9)^0)&gt;0)*1)</f>
        <v>0</v>
      </c>
    </row>
    <row r="521" spans="1:8" x14ac:dyDescent="0.45">
      <c r="A521" t="s">
        <v>1049</v>
      </c>
      <c r="B521" s="6">
        <f t="shared" si="8"/>
        <v>122</v>
      </c>
      <c r="C521" s="4" cm="1">
        <f t="array" ref="C521">SUM((MMULT(ISNUMBER(SEARCH(TRANSPOSE(category!$A$2:$A$11), A521))*1, ROW(category!$A$2:$A$11)^0)&gt;0)*1)</f>
        <v>1</v>
      </c>
      <c r="D521" s="4" cm="1">
        <f t="array" ref="D521">SUM((MMULT(ISNUMBER(SEARCH(TRANSPOSE(category!$B$2:$B$25), A521))*1, ROW(category!$B$2:$B$25)^0)&gt;0)*1)</f>
        <v>1</v>
      </c>
      <c r="E521" s="4" cm="1">
        <f t="array" ref="E521">SUM((MMULT(ISNUMBER(SEARCH(TRANSPOSE(category!$C$2:$C$4), A521))*1, ROW(category!$C$2:$C$4)^0)&gt;0)*1)</f>
        <v>0</v>
      </c>
      <c r="F521" s="4" cm="1">
        <f t="array" ref="F521">SUM((MMULT(ISNUMBER(SEARCH(TRANSPOSE(category!$D$2:$D$10), A521))*1, ROW(category!$D$2:$D$10)^0)&gt;0)*1)</f>
        <v>1</v>
      </c>
      <c r="G521" s="4" cm="1">
        <f t="array" ref="G521">SUM((MMULT(ISNUMBER(SEARCH(TRANSPOSE(category!$E$2:$E$8), A521))*1, ROW(category!$E$2:$E$8)^0)&gt;0)*1)</f>
        <v>1</v>
      </c>
      <c r="H521" s="4" cm="1">
        <f t="array" ref="H521">SUM((MMULT(ISNUMBER(SEARCH(TRANSPOSE(category!$F$2:$F$9), A521))*1, ROW(category!$F$2:$F$9)^0)&gt;0)*1)</f>
        <v>0</v>
      </c>
    </row>
    <row r="522" spans="1:8" x14ac:dyDescent="0.45">
      <c r="A522" t="s">
        <v>1032</v>
      </c>
      <c r="B522" s="6">
        <f t="shared" si="8"/>
        <v>57</v>
      </c>
      <c r="C522" s="4" cm="1">
        <f t="array" ref="C522">SUM((MMULT(ISNUMBER(SEARCH(TRANSPOSE(category!$A$2:$A$11), A522))*1, ROW(category!$A$2:$A$11)^0)&gt;0)*1)</f>
        <v>1</v>
      </c>
      <c r="D522" s="4" cm="1">
        <f t="array" ref="D522">SUM((MMULT(ISNUMBER(SEARCH(TRANSPOSE(category!$B$2:$B$25), A522))*1, ROW(category!$B$2:$B$25)^0)&gt;0)*1)</f>
        <v>1</v>
      </c>
      <c r="E522" s="4" cm="1">
        <f t="array" ref="E522">SUM((MMULT(ISNUMBER(SEARCH(TRANSPOSE(category!$C$2:$C$4), A522))*1, ROW(category!$C$2:$C$4)^0)&gt;0)*1)</f>
        <v>0</v>
      </c>
      <c r="F522" s="4" cm="1">
        <f t="array" ref="F522">SUM((MMULT(ISNUMBER(SEARCH(TRANSPOSE(category!$D$2:$D$10), A522))*1, ROW(category!$D$2:$D$10)^0)&gt;0)*1)</f>
        <v>1</v>
      </c>
      <c r="G522" s="4" cm="1">
        <f t="array" ref="G522">SUM((MMULT(ISNUMBER(SEARCH(TRANSPOSE(category!$E$2:$E$8), A522))*1, ROW(category!$E$2:$E$8)^0)&gt;0)*1)</f>
        <v>0</v>
      </c>
      <c r="H522" s="4" cm="1">
        <f t="array" ref="H522">SUM((MMULT(ISNUMBER(SEARCH(TRANSPOSE(category!$F$2:$F$9), A522))*1, ROW(category!$F$2:$F$9)^0)&gt;0)*1)</f>
        <v>0</v>
      </c>
    </row>
    <row r="523" spans="1:8" x14ac:dyDescent="0.45">
      <c r="A523" t="s">
        <v>1033</v>
      </c>
      <c r="B523" s="6">
        <f t="shared" si="8"/>
        <v>218</v>
      </c>
      <c r="C523" s="4" cm="1">
        <f t="array" ref="C523">SUM((MMULT(ISNUMBER(SEARCH(TRANSPOSE(category!$A$2:$A$11), A523))*1, ROW(category!$A$2:$A$11)^0)&gt;0)*1)</f>
        <v>1</v>
      </c>
      <c r="D523" s="4" cm="1">
        <f t="array" ref="D523">SUM((MMULT(ISNUMBER(SEARCH(TRANSPOSE(category!$B$2:$B$25), A523))*1, ROW(category!$B$2:$B$25)^0)&gt;0)*1)</f>
        <v>1</v>
      </c>
      <c r="E523" s="4" cm="1">
        <f t="array" ref="E523">SUM((MMULT(ISNUMBER(SEARCH(TRANSPOSE(category!$C$2:$C$4), A523))*1, ROW(category!$C$2:$C$4)^0)&gt;0)*1)</f>
        <v>0</v>
      </c>
      <c r="F523" s="4" cm="1">
        <f t="array" ref="F523">SUM((MMULT(ISNUMBER(SEARCH(TRANSPOSE(category!$D$2:$D$10), A523))*1, ROW(category!$D$2:$D$10)^0)&gt;0)*1)</f>
        <v>1</v>
      </c>
      <c r="G523" s="4" cm="1">
        <f t="array" ref="G523">SUM((MMULT(ISNUMBER(SEARCH(TRANSPOSE(category!$E$2:$E$8), A523))*1, ROW(category!$E$2:$E$8)^0)&gt;0)*1)</f>
        <v>0</v>
      </c>
      <c r="H523" s="4" cm="1">
        <f t="array" ref="H523">SUM((MMULT(ISNUMBER(SEARCH(TRANSPOSE(category!$F$2:$F$9), A523))*1, ROW(category!$F$2:$F$9)^0)&gt;0)*1)</f>
        <v>0</v>
      </c>
    </row>
    <row r="524" spans="1:8" x14ac:dyDescent="0.45">
      <c r="A524" t="s">
        <v>1035</v>
      </c>
      <c r="B524" s="6">
        <f t="shared" si="8"/>
        <v>87</v>
      </c>
      <c r="C524" s="4" cm="1">
        <f t="array" ref="C524">SUM((MMULT(ISNUMBER(SEARCH(TRANSPOSE(category!$A$2:$A$11), A524))*1, ROW(category!$A$2:$A$11)^0)&gt;0)*1)</f>
        <v>0</v>
      </c>
      <c r="D524" s="4" cm="1">
        <f t="array" ref="D524">SUM((MMULT(ISNUMBER(SEARCH(TRANSPOSE(category!$B$2:$B$25), A524))*1, ROW(category!$B$2:$B$25)^0)&gt;0)*1)</f>
        <v>1</v>
      </c>
      <c r="E524" s="4" cm="1">
        <f t="array" ref="E524">SUM((MMULT(ISNUMBER(SEARCH(TRANSPOSE(category!$C$2:$C$4), A524))*1, ROW(category!$C$2:$C$4)^0)&gt;0)*1)</f>
        <v>0</v>
      </c>
      <c r="F524" s="4" cm="1">
        <f t="array" ref="F524">SUM((MMULT(ISNUMBER(SEARCH(TRANSPOSE(category!$D$2:$D$10), A524))*1, ROW(category!$D$2:$D$10)^0)&gt;0)*1)</f>
        <v>0</v>
      </c>
      <c r="G524" s="4" cm="1">
        <f t="array" ref="G524">SUM((MMULT(ISNUMBER(SEARCH(TRANSPOSE(category!$E$2:$E$8), A524))*1, ROW(category!$E$2:$E$8)^0)&gt;0)*1)</f>
        <v>1</v>
      </c>
      <c r="H524" s="4" cm="1">
        <f t="array" ref="H524">SUM((MMULT(ISNUMBER(SEARCH(TRANSPOSE(category!$F$2:$F$9), A524))*1, ROW(category!$F$2:$F$9)^0)&gt;0)*1)</f>
        <v>0</v>
      </c>
    </row>
    <row r="525" spans="1:8" x14ac:dyDescent="0.45">
      <c r="A525" t="s">
        <v>1037</v>
      </c>
      <c r="B525" s="6">
        <f t="shared" si="8"/>
        <v>43</v>
      </c>
      <c r="C525" s="4" cm="1">
        <f t="array" ref="C525">SUM((MMULT(ISNUMBER(SEARCH(TRANSPOSE(category!$A$2:$A$11), A525))*1, ROW(category!$A$2:$A$11)^0)&gt;0)*1)</f>
        <v>0</v>
      </c>
      <c r="D525" s="4" cm="1">
        <f t="array" ref="D525">SUM((MMULT(ISNUMBER(SEARCH(TRANSPOSE(category!$B$2:$B$25), A525))*1, ROW(category!$B$2:$B$25)^0)&gt;0)*1)</f>
        <v>1</v>
      </c>
      <c r="E525" s="4" cm="1">
        <f t="array" ref="E525">SUM((MMULT(ISNUMBER(SEARCH(TRANSPOSE(category!$C$2:$C$4), A525))*1, ROW(category!$C$2:$C$4)^0)&gt;0)*1)</f>
        <v>0</v>
      </c>
      <c r="F525" s="4" cm="1">
        <f t="array" ref="F525">SUM((MMULT(ISNUMBER(SEARCH(TRANSPOSE(category!$D$2:$D$10), A525))*1, ROW(category!$D$2:$D$10)^0)&gt;0)*1)</f>
        <v>0</v>
      </c>
      <c r="G525" s="4" cm="1">
        <f t="array" ref="G525">SUM((MMULT(ISNUMBER(SEARCH(TRANSPOSE(category!$E$2:$E$8), A525))*1, ROW(category!$E$2:$E$8)^0)&gt;0)*1)</f>
        <v>0</v>
      </c>
      <c r="H525" s="4" cm="1">
        <f t="array" ref="H525">SUM((MMULT(ISNUMBER(SEARCH(TRANSPOSE(category!$F$2:$F$9), A525))*1, ROW(category!$F$2:$F$9)^0)&gt;0)*1)</f>
        <v>0</v>
      </c>
    </row>
    <row r="526" spans="1:8" x14ac:dyDescent="0.45">
      <c r="A526" t="s">
        <v>1039</v>
      </c>
      <c r="B526" s="6">
        <f t="shared" si="8"/>
        <v>40</v>
      </c>
      <c r="C526" s="4" cm="1">
        <f t="array" ref="C526">SUM((MMULT(ISNUMBER(SEARCH(TRANSPOSE(category!$A$2:$A$11), A526))*1, ROW(category!$A$2:$A$11)^0)&gt;0)*1)</f>
        <v>0</v>
      </c>
      <c r="D526" s="4" cm="1">
        <f t="array" ref="D526">SUM((MMULT(ISNUMBER(SEARCH(TRANSPOSE(category!$B$2:$B$25), A526))*1, ROW(category!$B$2:$B$25)^0)&gt;0)*1)</f>
        <v>1</v>
      </c>
      <c r="E526" s="4" cm="1">
        <f t="array" ref="E526">SUM((MMULT(ISNUMBER(SEARCH(TRANSPOSE(category!$C$2:$C$4), A526))*1, ROW(category!$C$2:$C$4)^0)&gt;0)*1)</f>
        <v>0</v>
      </c>
      <c r="F526" s="4" cm="1">
        <f t="array" ref="F526">SUM((MMULT(ISNUMBER(SEARCH(TRANSPOSE(category!$D$2:$D$10), A526))*1, ROW(category!$D$2:$D$10)^0)&gt;0)*1)</f>
        <v>1</v>
      </c>
      <c r="G526" s="4" cm="1">
        <f t="array" ref="G526">SUM((MMULT(ISNUMBER(SEARCH(TRANSPOSE(category!$E$2:$E$8), A526))*1, ROW(category!$E$2:$E$8)^0)&gt;0)*1)</f>
        <v>0</v>
      </c>
      <c r="H526" s="4" cm="1">
        <f t="array" ref="H526">SUM((MMULT(ISNUMBER(SEARCH(TRANSPOSE(category!$F$2:$F$9), A526))*1, ROW(category!$F$2:$F$9)^0)&gt;0)*1)</f>
        <v>0</v>
      </c>
    </row>
    <row r="527" spans="1:8" x14ac:dyDescent="0.45">
      <c r="A527" t="s">
        <v>1041</v>
      </c>
      <c r="B527" s="6">
        <f t="shared" si="8"/>
        <v>42</v>
      </c>
      <c r="C527" s="4" cm="1">
        <f t="array" ref="C527">SUM((MMULT(ISNUMBER(SEARCH(TRANSPOSE(category!$A$2:$A$11), A527))*1, ROW(category!$A$2:$A$11)^0)&gt;0)*1)</f>
        <v>0</v>
      </c>
      <c r="D527" s="4" cm="1">
        <f t="array" ref="D527">SUM((MMULT(ISNUMBER(SEARCH(TRANSPOSE(category!$B$2:$B$25), A527))*1, ROW(category!$B$2:$B$25)^0)&gt;0)*1)</f>
        <v>1</v>
      </c>
      <c r="E527" s="4" cm="1">
        <f t="array" ref="E527">SUM((MMULT(ISNUMBER(SEARCH(TRANSPOSE(category!$C$2:$C$4), A527))*1, ROW(category!$C$2:$C$4)^0)&gt;0)*1)</f>
        <v>0</v>
      </c>
      <c r="F527" s="4" cm="1">
        <f t="array" ref="F527">SUM((MMULT(ISNUMBER(SEARCH(TRANSPOSE(category!$D$2:$D$10), A527))*1, ROW(category!$D$2:$D$10)^0)&gt;0)*1)</f>
        <v>1</v>
      </c>
      <c r="G527" s="4" cm="1">
        <f t="array" ref="G527">SUM((MMULT(ISNUMBER(SEARCH(TRANSPOSE(category!$E$2:$E$8), A527))*1, ROW(category!$E$2:$E$8)^0)&gt;0)*1)</f>
        <v>0</v>
      </c>
      <c r="H527" s="4" cm="1">
        <f t="array" ref="H527">SUM((MMULT(ISNUMBER(SEARCH(TRANSPOSE(category!$F$2:$F$9), A527))*1, ROW(category!$F$2:$F$9)^0)&gt;0)*1)</f>
        <v>0</v>
      </c>
    </row>
    <row r="528" spans="1:8" x14ac:dyDescent="0.45">
      <c r="A528" t="s">
        <v>1043</v>
      </c>
      <c r="B528" s="6">
        <f t="shared" si="8"/>
        <v>33</v>
      </c>
      <c r="C528" s="4" cm="1">
        <f t="array" ref="C528">SUM((MMULT(ISNUMBER(SEARCH(TRANSPOSE(category!$A$2:$A$11), A528))*1, ROW(category!$A$2:$A$11)^0)&gt;0)*1)</f>
        <v>1</v>
      </c>
      <c r="D528" s="4" cm="1">
        <f t="array" ref="D528">SUM((MMULT(ISNUMBER(SEARCH(TRANSPOSE(category!$B$2:$B$25), A528))*1, ROW(category!$B$2:$B$25)^0)&gt;0)*1)</f>
        <v>1</v>
      </c>
      <c r="E528" s="4" cm="1">
        <f t="array" ref="E528">SUM((MMULT(ISNUMBER(SEARCH(TRANSPOSE(category!$C$2:$C$4), A528))*1, ROW(category!$C$2:$C$4)^0)&gt;0)*1)</f>
        <v>0</v>
      </c>
      <c r="F528" s="4" cm="1">
        <f t="array" ref="F528">SUM((MMULT(ISNUMBER(SEARCH(TRANSPOSE(category!$D$2:$D$10), A528))*1, ROW(category!$D$2:$D$10)^0)&gt;0)*1)</f>
        <v>1</v>
      </c>
      <c r="G528" s="4" cm="1">
        <f t="array" ref="G528">SUM((MMULT(ISNUMBER(SEARCH(TRANSPOSE(category!$E$2:$E$8), A528))*1, ROW(category!$E$2:$E$8)^0)&gt;0)*1)</f>
        <v>0</v>
      </c>
      <c r="H528" s="4" cm="1">
        <f t="array" ref="H528">SUM((MMULT(ISNUMBER(SEARCH(TRANSPOSE(category!$F$2:$F$9), A528))*1, ROW(category!$F$2:$F$9)^0)&gt;0)*1)</f>
        <v>0</v>
      </c>
    </row>
    <row r="529" spans="1:9" x14ac:dyDescent="0.45">
      <c r="A529" t="s">
        <v>1037</v>
      </c>
      <c r="B529" s="6">
        <f t="shared" si="8"/>
        <v>43</v>
      </c>
      <c r="C529" s="4" cm="1">
        <f t="array" ref="C529">SUM((MMULT(ISNUMBER(SEARCH(TRANSPOSE(category!$A$2:$A$11), A529))*1, ROW(category!$A$2:$A$11)^0)&gt;0)*1)</f>
        <v>0</v>
      </c>
      <c r="D529" s="4" cm="1">
        <f t="array" ref="D529">SUM((MMULT(ISNUMBER(SEARCH(TRANSPOSE(category!$B$2:$B$25), A529))*1, ROW(category!$B$2:$B$25)^0)&gt;0)*1)</f>
        <v>1</v>
      </c>
      <c r="E529" s="4" cm="1">
        <f t="array" ref="E529">SUM((MMULT(ISNUMBER(SEARCH(TRANSPOSE(category!$C$2:$C$4), A529))*1, ROW(category!$C$2:$C$4)^0)&gt;0)*1)</f>
        <v>0</v>
      </c>
      <c r="F529" s="4" cm="1">
        <f t="array" ref="F529">SUM((MMULT(ISNUMBER(SEARCH(TRANSPOSE(category!$D$2:$D$10), A529))*1, ROW(category!$D$2:$D$10)^0)&gt;0)*1)</f>
        <v>0</v>
      </c>
      <c r="G529" s="4" cm="1">
        <f t="array" ref="G529">SUM((MMULT(ISNUMBER(SEARCH(TRANSPOSE(category!$E$2:$E$8), A529))*1, ROW(category!$E$2:$E$8)^0)&gt;0)*1)</f>
        <v>0</v>
      </c>
      <c r="H529" s="4" cm="1">
        <f t="array" ref="H529">SUM((MMULT(ISNUMBER(SEARCH(TRANSPOSE(category!$F$2:$F$9), A529))*1, ROW(category!$F$2:$F$9)^0)&gt;0)*1)</f>
        <v>0</v>
      </c>
    </row>
    <row r="530" spans="1:9" x14ac:dyDescent="0.45">
      <c r="A530" t="s">
        <v>1045</v>
      </c>
      <c r="B530" s="6">
        <f t="shared" si="8"/>
        <v>10</v>
      </c>
      <c r="C530" s="4" cm="1">
        <f t="array" ref="C530">SUM((MMULT(ISNUMBER(SEARCH(TRANSPOSE(category!$A$2:$A$11), A530))*1, ROW(category!$A$2:$A$11)^0)&gt;0)*1)</f>
        <v>1</v>
      </c>
      <c r="D530" s="4" cm="1">
        <f t="array" ref="D530">SUM((MMULT(ISNUMBER(SEARCH(TRANSPOSE(category!$B$2:$B$25), A530))*1, ROW(category!$B$2:$B$25)^0)&gt;0)*1)</f>
        <v>1</v>
      </c>
      <c r="E530" s="4" cm="1">
        <f t="array" ref="E530">SUM((MMULT(ISNUMBER(SEARCH(TRANSPOSE(category!$C$2:$C$4), A530))*1, ROW(category!$C$2:$C$4)^0)&gt;0)*1)</f>
        <v>0</v>
      </c>
      <c r="F530" s="4" cm="1">
        <f t="array" ref="F530">SUM((MMULT(ISNUMBER(SEARCH(TRANSPOSE(category!$D$2:$D$10), A530))*1, ROW(category!$D$2:$D$10)^0)&gt;0)*1)</f>
        <v>0</v>
      </c>
      <c r="G530" s="4" cm="1">
        <f t="array" ref="G530">SUM((MMULT(ISNUMBER(SEARCH(TRANSPOSE(category!$E$2:$E$8), A530))*1, ROW(category!$E$2:$E$8)^0)&gt;0)*1)</f>
        <v>1</v>
      </c>
      <c r="H530" s="4" cm="1">
        <f t="array" ref="H530">SUM((MMULT(ISNUMBER(SEARCH(TRANSPOSE(category!$F$2:$F$9), A530))*1, ROW(category!$F$2:$F$9)^0)&gt;0)*1)</f>
        <v>0</v>
      </c>
    </row>
    <row r="531" spans="1:9" x14ac:dyDescent="0.45">
      <c r="A531" t="s">
        <v>1039</v>
      </c>
      <c r="B531" s="6">
        <f t="shared" si="8"/>
        <v>40</v>
      </c>
      <c r="C531" s="4" cm="1">
        <f t="array" ref="C531">SUM((MMULT(ISNUMBER(SEARCH(TRANSPOSE(category!$A$2:$A$11), A531))*1, ROW(category!$A$2:$A$11)^0)&gt;0)*1)</f>
        <v>0</v>
      </c>
      <c r="D531" s="4" cm="1">
        <f t="array" ref="D531">SUM((MMULT(ISNUMBER(SEARCH(TRANSPOSE(category!$B$2:$B$25), A531))*1, ROW(category!$B$2:$B$25)^0)&gt;0)*1)</f>
        <v>1</v>
      </c>
      <c r="E531" s="4" cm="1">
        <f t="array" ref="E531">SUM((MMULT(ISNUMBER(SEARCH(TRANSPOSE(category!$C$2:$C$4), A531))*1, ROW(category!$C$2:$C$4)^0)&gt;0)*1)</f>
        <v>0</v>
      </c>
      <c r="F531" s="4" cm="1">
        <f t="array" ref="F531">SUM((MMULT(ISNUMBER(SEARCH(TRANSPOSE(category!$D$2:$D$10), A531))*1, ROW(category!$D$2:$D$10)^0)&gt;0)*1)</f>
        <v>1</v>
      </c>
      <c r="G531" s="4" cm="1">
        <f t="array" ref="G531">SUM((MMULT(ISNUMBER(SEARCH(TRANSPOSE(category!$E$2:$E$8), A531))*1, ROW(category!$E$2:$E$8)^0)&gt;0)*1)</f>
        <v>0</v>
      </c>
      <c r="H531" s="4" cm="1">
        <f t="array" ref="H531">SUM((MMULT(ISNUMBER(SEARCH(TRANSPOSE(category!$F$2:$F$9), A531))*1, ROW(category!$F$2:$F$9)^0)&gt;0)*1)</f>
        <v>0</v>
      </c>
    </row>
    <row r="533" spans="1:9" x14ac:dyDescent="0.45">
      <c r="B533" s="7" t="s">
        <v>1095</v>
      </c>
      <c r="C533" s="9">
        <f t="shared" ref="C533:H533" si="9">SUM(C2:C531)</f>
        <v>114</v>
      </c>
      <c r="D533" s="9">
        <f t="shared" si="9"/>
        <v>476</v>
      </c>
      <c r="E533" s="9">
        <f t="shared" si="9"/>
        <v>32</v>
      </c>
      <c r="F533" s="9">
        <f t="shared" si="9"/>
        <v>223</v>
      </c>
      <c r="G533" s="9">
        <f t="shared" si="9"/>
        <v>21</v>
      </c>
      <c r="H533" s="9">
        <f t="shared" si="9"/>
        <v>43</v>
      </c>
    </row>
    <row r="535" spans="1:9" x14ac:dyDescent="0.45">
      <c r="I535"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6A551-33FD-41A3-8FD4-499B543B2E7F}">
  <dimension ref="A1:G26"/>
  <sheetViews>
    <sheetView tabSelected="1" zoomScale="85" zoomScaleNormal="85" workbookViewId="0">
      <selection activeCell="D10" sqref="D10"/>
    </sheetView>
  </sheetViews>
  <sheetFormatPr defaultRowHeight="16.5" x14ac:dyDescent="0.45"/>
  <cols>
    <col min="1" max="1" width="17" customWidth="1"/>
    <col min="2" max="2" width="16.5" customWidth="1"/>
    <col min="3" max="3" width="22.58203125" customWidth="1"/>
    <col min="4" max="4" width="17" customWidth="1"/>
    <col min="5" max="5" width="18.1640625" customWidth="1"/>
    <col min="6" max="6" width="21" customWidth="1"/>
    <col min="7" max="7" width="24.33203125" customWidth="1"/>
  </cols>
  <sheetData>
    <row r="1" spans="1:6" x14ac:dyDescent="0.45">
      <c r="A1" s="15" t="s">
        <v>1097</v>
      </c>
      <c r="B1" s="15" t="s">
        <v>1098</v>
      </c>
      <c r="C1" s="15" t="s">
        <v>1099</v>
      </c>
      <c r="D1" s="15" t="s">
        <v>1100</v>
      </c>
      <c r="E1" s="15" t="s">
        <v>1101</v>
      </c>
      <c r="F1" s="15" t="s">
        <v>1102</v>
      </c>
    </row>
    <row r="2" spans="1:6" x14ac:dyDescent="0.45">
      <c r="A2" s="16" t="s">
        <v>1059</v>
      </c>
      <c r="B2" s="16" t="s">
        <v>848</v>
      </c>
      <c r="C2" s="16" t="s">
        <v>1096</v>
      </c>
      <c r="D2" s="16" t="s">
        <v>1093</v>
      </c>
      <c r="E2" s="16" t="s">
        <v>1078</v>
      </c>
      <c r="F2" s="16" t="s">
        <v>1051</v>
      </c>
    </row>
    <row r="3" spans="1:6" x14ac:dyDescent="0.45">
      <c r="A3" s="16" t="s">
        <v>1060</v>
      </c>
      <c r="B3" s="16" t="s">
        <v>1087</v>
      </c>
      <c r="C3" s="16" t="s">
        <v>1057</v>
      </c>
      <c r="D3" s="16" t="s">
        <v>1089</v>
      </c>
      <c r="E3" s="16" t="s">
        <v>1083</v>
      </c>
      <c r="F3" s="16" t="s">
        <v>1071</v>
      </c>
    </row>
    <row r="4" spans="1:6" x14ac:dyDescent="0.45">
      <c r="A4" s="16" t="s">
        <v>1061</v>
      </c>
      <c r="B4" s="16" t="s">
        <v>1088</v>
      </c>
      <c r="C4" s="16" t="s">
        <v>1054</v>
      </c>
      <c r="D4" s="16" t="s">
        <v>1091</v>
      </c>
      <c r="E4" s="16" t="s">
        <v>1080</v>
      </c>
      <c r="F4" s="16" t="s">
        <v>1072</v>
      </c>
    </row>
    <row r="5" spans="1:6" x14ac:dyDescent="0.45">
      <c r="A5" s="16" t="s">
        <v>1062</v>
      </c>
      <c r="B5" s="16" t="s">
        <v>1090</v>
      </c>
      <c r="C5" s="16"/>
      <c r="D5" s="16" t="s">
        <v>1067</v>
      </c>
      <c r="E5" s="16" t="s">
        <v>1077</v>
      </c>
      <c r="F5" s="16" t="s">
        <v>1075</v>
      </c>
    </row>
    <row r="6" spans="1:6" x14ac:dyDescent="0.45">
      <c r="A6" s="16" t="s">
        <v>1063</v>
      </c>
      <c r="B6" s="16" t="s">
        <v>1058</v>
      </c>
      <c r="C6" s="16"/>
      <c r="D6" s="16" t="s">
        <v>1104</v>
      </c>
      <c r="E6" s="16" t="s">
        <v>1079</v>
      </c>
      <c r="F6" s="16" t="s">
        <v>1076</v>
      </c>
    </row>
    <row r="7" spans="1:6" x14ac:dyDescent="0.45">
      <c r="A7" s="16" t="s">
        <v>1064</v>
      </c>
      <c r="B7" s="16" t="s">
        <v>1055</v>
      </c>
      <c r="C7" s="16"/>
      <c r="D7" s="16" t="s">
        <v>1105</v>
      </c>
      <c r="E7" s="16" t="s">
        <v>1082</v>
      </c>
      <c r="F7" s="16" t="s">
        <v>1074</v>
      </c>
    </row>
    <row r="8" spans="1:6" x14ac:dyDescent="0.45">
      <c r="A8" s="16" t="s">
        <v>1065</v>
      </c>
      <c r="B8" s="16" t="s">
        <v>1070</v>
      </c>
      <c r="C8" s="16"/>
      <c r="D8" s="16" t="s">
        <v>1111</v>
      </c>
      <c r="E8" s="16" t="s">
        <v>1081</v>
      </c>
      <c r="F8" s="16" t="s">
        <v>1073</v>
      </c>
    </row>
    <row r="9" spans="1:6" x14ac:dyDescent="0.45">
      <c r="A9" s="16" t="s">
        <v>1066</v>
      </c>
      <c r="B9" s="16" t="s">
        <v>1069</v>
      </c>
      <c r="C9" s="16"/>
      <c r="D9" s="16" t="s">
        <v>1112</v>
      </c>
      <c r="E9" s="16"/>
      <c r="F9" s="16" t="s">
        <v>1108</v>
      </c>
    </row>
    <row r="10" spans="1:6" x14ac:dyDescent="0.45">
      <c r="A10" s="16" t="s">
        <v>1052</v>
      </c>
      <c r="B10" s="16" t="s">
        <v>1068</v>
      </c>
      <c r="C10" s="16"/>
      <c r="D10" s="16" t="s">
        <v>1113</v>
      </c>
      <c r="E10" s="16"/>
      <c r="F10" s="16"/>
    </row>
    <row r="11" spans="1:6" x14ac:dyDescent="0.45">
      <c r="A11" s="16" t="s">
        <v>1115</v>
      </c>
      <c r="B11" s="16" t="s">
        <v>1086</v>
      </c>
      <c r="C11" s="16"/>
      <c r="D11" s="16"/>
      <c r="E11" s="16"/>
      <c r="F11" s="16"/>
    </row>
    <row r="12" spans="1:6" x14ac:dyDescent="0.45">
      <c r="A12" s="16"/>
      <c r="B12" s="16" t="s">
        <v>1084</v>
      </c>
      <c r="C12" s="16"/>
      <c r="D12" s="16"/>
      <c r="E12" s="16"/>
      <c r="F12" s="16"/>
    </row>
    <row r="13" spans="1:6" x14ac:dyDescent="0.45">
      <c r="A13" s="16"/>
      <c r="B13" s="16" t="s">
        <v>1085</v>
      </c>
      <c r="C13" s="16"/>
      <c r="D13" s="16"/>
      <c r="E13" s="16"/>
      <c r="F13" s="16"/>
    </row>
    <row r="14" spans="1:6" x14ac:dyDescent="0.45">
      <c r="A14" s="16"/>
      <c r="B14" s="16" t="s">
        <v>1056</v>
      </c>
      <c r="C14" s="16"/>
      <c r="D14" s="16"/>
      <c r="E14" s="16"/>
      <c r="F14" s="16"/>
    </row>
    <row r="15" spans="1:6" x14ac:dyDescent="0.45">
      <c r="A15" s="16"/>
      <c r="B15" s="16" t="s">
        <v>1094</v>
      </c>
      <c r="C15" s="16"/>
      <c r="D15" s="16"/>
      <c r="E15" s="16"/>
      <c r="F15" s="16"/>
    </row>
    <row r="16" spans="1:6" x14ac:dyDescent="0.45">
      <c r="A16" s="16"/>
      <c r="B16" s="16" t="s">
        <v>938</v>
      </c>
      <c r="C16" s="16"/>
      <c r="D16" s="16"/>
      <c r="E16" s="16"/>
      <c r="F16" s="16"/>
    </row>
    <row r="17" spans="1:7" x14ac:dyDescent="0.45">
      <c r="A17" s="16"/>
      <c r="B17" s="16" t="s">
        <v>1092</v>
      </c>
      <c r="C17" s="16"/>
      <c r="D17" s="16"/>
      <c r="E17" s="16"/>
      <c r="F17" s="16"/>
    </row>
    <row r="18" spans="1:7" x14ac:dyDescent="0.45">
      <c r="A18" s="8"/>
      <c r="B18" s="14" t="s">
        <v>1103</v>
      </c>
      <c r="C18" s="8"/>
      <c r="D18" s="8"/>
      <c r="E18" s="8"/>
      <c r="F18" s="8"/>
    </row>
    <row r="19" spans="1:7" x14ac:dyDescent="0.45">
      <c r="A19" s="8"/>
      <c r="B19" s="16" t="s">
        <v>1106</v>
      </c>
      <c r="C19" s="8"/>
      <c r="D19" s="8"/>
      <c r="E19" s="8"/>
      <c r="F19" s="8"/>
      <c r="G19" s="18"/>
    </row>
    <row r="20" spans="1:7" x14ac:dyDescent="0.45">
      <c r="A20" s="8"/>
      <c r="B20" s="16" t="s">
        <v>1107</v>
      </c>
      <c r="C20" s="8"/>
      <c r="D20" s="8"/>
      <c r="E20" s="8"/>
      <c r="F20" s="8"/>
      <c r="G20" s="18"/>
    </row>
    <row r="21" spans="1:7" x14ac:dyDescent="0.45">
      <c r="A21" s="8"/>
      <c r="B21" s="16" t="s">
        <v>1109</v>
      </c>
      <c r="C21" s="8"/>
      <c r="D21" s="8"/>
      <c r="E21" s="8"/>
      <c r="F21" s="8"/>
      <c r="G21" s="18"/>
    </row>
    <row r="22" spans="1:7" x14ac:dyDescent="0.45">
      <c r="A22" s="8"/>
      <c r="B22" s="16" t="s">
        <v>1110</v>
      </c>
      <c r="C22" s="8"/>
      <c r="D22" s="8"/>
      <c r="E22" s="8"/>
      <c r="F22" s="8"/>
      <c r="G22" s="18"/>
    </row>
    <row r="23" spans="1:7" x14ac:dyDescent="0.45">
      <c r="A23" s="8"/>
      <c r="B23" s="17" t="s">
        <v>1114</v>
      </c>
      <c r="C23" s="8"/>
      <c r="D23" s="8"/>
      <c r="E23" s="8"/>
      <c r="F23" s="8"/>
      <c r="G23" s="18"/>
    </row>
    <row r="24" spans="1:7" x14ac:dyDescent="0.45">
      <c r="A24" s="5"/>
      <c r="B24" s="20" t="s">
        <v>1116</v>
      </c>
      <c r="C24" s="5"/>
      <c r="D24" s="5"/>
      <c r="E24" s="5"/>
      <c r="F24" s="5"/>
      <c r="G24" s="19"/>
    </row>
    <row r="25" spans="1:7" x14ac:dyDescent="0.45">
      <c r="A25" s="5"/>
      <c r="B25" s="20" t="s">
        <v>1117</v>
      </c>
      <c r="C25" s="5"/>
      <c r="D25" s="5"/>
      <c r="E25" s="5"/>
      <c r="F25" s="5"/>
      <c r="G25" s="19"/>
    </row>
    <row r="26" spans="1:7" x14ac:dyDescent="0.45">
      <c r="A26" s="5"/>
      <c r="B26" s="5"/>
      <c r="C26" s="5"/>
      <c r="D26" s="5"/>
      <c r="E26" s="5"/>
      <c r="F26" s="5"/>
      <c r="G26"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scraped</vt:lpstr>
      <vt:lpstr>clean</vt:lpstr>
      <vt:lpstr>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whongsapat maneesorn</dc:creator>
  <cp:lastModifiedBy>PANUPONG TAMTHONG</cp:lastModifiedBy>
  <dcterms:created xsi:type="dcterms:W3CDTF">2025-10-27T14:36:08Z</dcterms:created>
  <dcterms:modified xsi:type="dcterms:W3CDTF">2025-12-11T10:41:48Z</dcterms:modified>
</cp:coreProperties>
</file>